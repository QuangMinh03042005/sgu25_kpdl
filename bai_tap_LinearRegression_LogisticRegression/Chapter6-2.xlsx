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046D0596-B47B-42E9-9DA5-99AA019760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Sheet2!$M$2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7" i="2" l="1"/>
  <c r="I7" i="2" s="1"/>
  <c r="H69" i="2"/>
  <c r="I69" i="2" s="1"/>
  <c r="H29" i="2"/>
  <c r="I29" i="2" s="1"/>
  <c r="H84" i="2"/>
  <c r="I84" i="2" s="1"/>
  <c r="H60" i="2"/>
  <c r="I60" i="2" s="1"/>
  <c r="H36" i="2"/>
  <c r="I36" i="2" s="1"/>
  <c r="H86" i="2"/>
  <c r="I86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H14" i="2"/>
  <c r="I14" i="2" s="1"/>
  <c r="H6" i="2"/>
  <c r="I6" i="2" s="1"/>
  <c r="H53" i="2"/>
  <c r="I53" i="2" s="1"/>
  <c r="H21" i="2"/>
  <c r="I21" i="2" s="1"/>
  <c r="H76" i="2"/>
  <c r="I76" i="2" s="1"/>
  <c r="H44" i="2"/>
  <c r="I44" i="2" s="1"/>
  <c r="H12" i="2"/>
  <c r="I12" i="2" s="1"/>
  <c r="H91" i="2"/>
  <c r="I91" i="2" s="1"/>
  <c r="H75" i="2"/>
  <c r="I75" i="2" s="1"/>
  <c r="H67" i="2"/>
  <c r="I67" i="2" s="1"/>
  <c r="H59" i="2"/>
  <c r="I59" i="2" s="1"/>
  <c r="H51" i="2"/>
  <c r="I51" i="2" s="1"/>
  <c r="H43" i="2"/>
  <c r="I43" i="2" s="1"/>
  <c r="H35" i="2"/>
  <c r="I35" i="2" s="1"/>
  <c r="H27" i="2"/>
  <c r="I27" i="2" s="1"/>
  <c r="H19" i="2"/>
  <c r="I19" i="2" s="1"/>
  <c r="H11" i="2"/>
  <c r="I11" i="2" s="1"/>
  <c r="H77" i="2"/>
  <c r="I77" i="2" s="1"/>
  <c r="H61" i="2"/>
  <c r="I61" i="2" s="1"/>
  <c r="H37" i="2"/>
  <c r="I37" i="2" s="1"/>
  <c r="H68" i="2"/>
  <c r="I68" i="2" s="1"/>
  <c r="H28" i="2"/>
  <c r="I28" i="2" s="1"/>
  <c r="H83" i="2"/>
  <c r="I83" i="2" s="1"/>
  <c r="H90" i="2"/>
  <c r="I90" i="2" s="1"/>
  <c r="H82" i="2"/>
  <c r="I82" i="2" s="1"/>
  <c r="H74" i="2"/>
  <c r="I74" i="2" s="1"/>
  <c r="H66" i="2"/>
  <c r="I66" i="2" s="1"/>
  <c r="H58" i="2"/>
  <c r="I58" i="2" s="1"/>
  <c r="H50" i="2"/>
  <c r="I50" i="2" s="1"/>
  <c r="H42" i="2"/>
  <c r="I42" i="2" s="1"/>
  <c r="H34" i="2"/>
  <c r="I34" i="2" s="1"/>
  <c r="H26" i="2"/>
  <c r="I26" i="2" s="1"/>
  <c r="H18" i="2"/>
  <c r="I18" i="2" s="1"/>
  <c r="H10" i="2"/>
  <c r="I10" i="2" s="1"/>
  <c r="H85" i="2"/>
  <c r="I85" i="2" s="1"/>
  <c r="H45" i="2"/>
  <c r="I45" i="2" s="1"/>
  <c r="H13" i="2"/>
  <c r="I13" i="2" s="1"/>
  <c r="H92" i="2"/>
  <c r="I92" i="2" s="1"/>
  <c r="H52" i="2"/>
  <c r="I52" i="2" s="1"/>
  <c r="H20" i="2"/>
  <c r="I20" i="2" s="1"/>
  <c r="H89" i="2"/>
  <c r="I89" i="2" s="1"/>
  <c r="H81" i="2"/>
  <c r="I81" i="2" s="1"/>
  <c r="H73" i="2"/>
  <c r="I73" i="2" s="1"/>
  <c r="H65" i="2"/>
  <c r="I65" i="2" s="1"/>
  <c r="H57" i="2"/>
  <c r="I57" i="2" s="1"/>
  <c r="H49" i="2"/>
  <c r="I49" i="2" s="1"/>
  <c r="H41" i="2"/>
  <c r="I41" i="2" s="1"/>
  <c r="H33" i="2"/>
  <c r="I33" i="2" s="1"/>
  <c r="H25" i="2"/>
  <c r="I25" i="2" s="1"/>
  <c r="H17" i="2"/>
  <c r="I17" i="2" s="1"/>
  <c r="H9" i="2"/>
  <c r="I9" i="2" s="1"/>
  <c r="H88" i="2"/>
  <c r="I88" i="2" s="1"/>
  <c r="H80" i="2"/>
  <c r="I80" i="2" s="1"/>
  <c r="H72" i="2"/>
  <c r="I72" i="2" s="1"/>
  <c r="H64" i="2"/>
  <c r="I64" i="2" s="1"/>
  <c r="H56" i="2"/>
  <c r="I56" i="2" s="1"/>
  <c r="H48" i="2"/>
  <c r="I48" i="2" s="1"/>
  <c r="H40" i="2"/>
  <c r="I40" i="2" s="1"/>
  <c r="H32" i="2"/>
  <c r="I32" i="2" s="1"/>
  <c r="H24" i="2"/>
  <c r="I24" i="2" s="1"/>
  <c r="H16" i="2"/>
  <c r="I16" i="2" s="1"/>
  <c r="H8" i="2"/>
  <c r="I8" i="2" s="1"/>
  <c r="H87" i="2"/>
  <c r="I87" i="2" s="1"/>
  <c r="H79" i="2"/>
  <c r="I79" i="2" s="1"/>
  <c r="H71" i="2"/>
  <c r="I71" i="2" s="1"/>
  <c r="H63" i="2"/>
  <c r="I63" i="2" s="1"/>
  <c r="H55" i="2"/>
  <c r="I55" i="2" s="1"/>
  <c r="H47" i="2"/>
  <c r="I47" i="2" s="1"/>
  <c r="H39" i="2"/>
  <c r="I39" i="2" s="1"/>
  <c r="H31" i="2"/>
  <c r="I31" i="2" s="1"/>
  <c r="H23" i="2"/>
  <c r="I23" i="2" s="1"/>
  <c r="H15" i="2"/>
  <c r="I15" i="2" s="1"/>
  <c r="J33" i="2" l="1"/>
  <c r="K33" i="2" s="1"/>
  <c r="L33" i="2"/>
  <c r="M33" i="2" s="1"/>
  <c r="J19" i="2"/>
  <c r="K19" i="2" s="1"/>
  <c r="L19" i="2"/>
  <c r="M19" i="2" s="1"/>
  <c r="J41" i="2"/>
  <c r="K41" i="2" s="1"/>
  <c r="L41" i="2"/>
  <c r="M41" i="2" s="1"/>
  <c r="J34" i="2"/>
  <c r="K34" i="2" s="1"/>
  <c r="L34" i="2"/>
  <c r="M34" i="2" s="1"/>
  <c r="J8" i="2"/>
  <c r="K8" i="2" s="1"/>
  <c r="L8" i="2"/>
  <c r="M8" i="2" s="1"/>
  <c r="J42" i="2"/>
  <c r="K42" i="2" s="1"/>
  <c r="L42" i="2"/>
  <c r="M42" i="2" s="1"/>
  <c r="J16" i="2"/>
  <c r="K16" i="2" s="1"/>
  <c r="L16" i="2"/>
  <c r="M16" i="2" s="1"/>
  <c r="J43" i="2"/>
  <c r="K43" i="2" s="1"/>
  <c r="L43" i="2"/>
  <c r="M43" i="2" s="1"/>
  <c r="J65" i="2"/>
  <c r="K65" i="2" s="1"/>
  <c r="L65" i="2"/>
  <c r="M65" i="2" s="1"/>
  <c r="J51" i="2"/>
  <c r="K51" i="2" s="1"/>
  <c r="L51" i="2"/>
  <c r="M51" i="2" s="1"/>
  <c r="J73" i="2"/>
  <c r="K73" i="2" s="1"/>
  <c r="L73" i="2"/>
  <c r="M73" i="2" s="1"/>
  <c r="J66" i="2"/>
  <c r="K66" i="2" s="1"/>
  <c r="L66" i="2"/>
  <c r="M66" i="2" s="1"/>
  <c r="J40" i="2"/>
  <c r="K40" i="2" s="1"/>
  <c r="L40" i="2"/>
  <c r="M40" i="2" s="1"/>
  <c r="J74" i="2"/>
  <c r="K74" i="2" s="1"/>
  <c r="L74" i="2"/>
  <c r="M74" i="2" s="1"/>
  <c r="J48" i="2"/>
  <c r="K48" i="2" s="1"/>
  <c r="L48" i="2"/>
  <c r="M48" i="2" s="1"/>
  <c r="J82" i="2"/>
  <c r="K82" i="2" s="1"/>
  <c r="L82" i="2"/>
  <c r="M82" i="2" s="1"/>
  <c r="J15" i="2"/>
  <c r="K15" i="2" s="1"/>
  <c r="L15" i="2"/>
  <c r="M15" i="2" s="1"/>
  <c r="J20" i="2"/>
  <c r="K20" i="2" s="1"/>
  <c r="L20" i="2"/>
  <c r="M20" i="2" s="1"/>
  <c r="J91" i="2"/>
  <c r="K91" i="2" s="1"/>
  <c r="L91" i="2"/>
  <c r="M91" i="2" s="1"/>
  <c r="J64" i="2"/>
  <c r="K64" i="2" s="1"/>
  <c r="L64" i="2"/>
  <c r="M64" i="2" s="1"/>
  <c r="J83" i="2"/>
  <c r="K83" i="2" s="1"/>
  <c r="L83" i="2"/>
  <c r="M83" i="2" s="1"/>
  <c r="J31" i="2"/>
  <c r="K31" i="2" s="1"/>
  <c r="L31" i="2"/>
  <c r="M31" i="2" s="1"/>
  <c r="J92" i="2"/>
  <c r="K92" i="2" s="1"/>
  <c r="L92" i="2"/>
  <c r="M92" i="2" s="1"/>
  <c r="J44" i="2"/>
  <c r="K44" i="2" s="1"/>
  <c r="L44" i="2"/>
  <c r="M44" i="2" s="1"/>
  <c r="J80" i="2"/>
  <c r="K80" i="2" s="1"/>
  <c r="L80" i="2"/>
  <c r="M80" i="2" s="1"/>
  <c r="J63" i="2"/>
  <c r="K63" i="2" s="1"/>
  <c r="L63" i="2"/>
  <c r="M63" i="2" s="1"/>
  <c r="J17" i="2"/>
  <c r="K17" i="2" s="1"/>
  <c r="L17" i="2"/>
  <c r="M17" i="2" s="1"/>
  <c r="J10" i="2"/>
  <c r="K10" i="2" s="1"/>
  <c r="L10" i="2"/>
  <c r="M10" i="2" s="1"/>
  <c r="J77" i="2"/>
  <c r="K77" i="2" s="1"/>
  <c r="L77" i="2"/>
  <c r="M77" i="2" s="1"/>
  <c r="L6" i="2"/>
  <c r="M6" i="2" s="1"/>
  <c r="J6" i="2"/>
  <c r="K6" i="2" s="1"/>
  <c r="J71" i="2"/>
  <c r="K71" i="2" s="1"/>
  <c r="L71" i="2"/>
  <c r="M71" i="2" s="1"/>
  <c r="J25" i="2"/>
  <c r="K25" i="2" s="1"/>
  <c r="L25" i="2"/>
  <c r="M25" i="2" s="1"/>
  <c r="J18" i="2"/>
  <c r="K18" i="2" s="1"/>
  <c r="L18" i="2"/>
  <c r="M18" i="2" s="1"/>
  <c r="J11" i="2"/>
  <c r="K11" i="2" s="1"/>
  <c r="L11" i="2"/>
  <c r="M11" i="2" s="1"/>
  <c r="J14" i="2"/>
  <c r="K14" i="2" s="1"/>
  <c r="L14" i="2"/>
  <c r="M14" i="2" s="1"/>
  <c r="J22" i="2"/>
  <c r="K22" i="2" s="1"/>
  <c r="L22" i="2"/>
  <c r="M22" i="2" s="1"/>
  <c r="J30" i="2"/>
  <c r="K30" i="2" s="1"/>
  <c r="L30" i="2"/>
  <c r="M30" i="2" s="1"/>
  <c r="J38" i="2"/>
  <c r="K38" i="2" s="1"/>
  <c r="L38" i="2"/>
  <c r="M38" i="2" s="1"/>
  <c r="J46" i="2"/>
  <c r="K46" i="2" s="1"/>
  <c r="L46" i="2"/>
  <c r="M46" i="2" s="1"/>
  <c r="J54" i="2"/>
  <c r="K54" i="2" s="1"/>
  <c r="L54" i="2"/>
  <c r="M54" i="2" s="1"/>
  <c r="J62" i="2"/>
  <c r="K62" i="2" s="1"/>
  <c r="L62" i="2"/>
  <c r="M62" i="2" s="1"/>
  <c r="J70" i="2"/>
  <c r="K70" i="2" s="1"/>
  <c r="L70" i="2"/>
  <c r="M70" i="2" s="1"/>
  <c r="J78" i="2"/>
  <c r="K78" i="2" s="1"/>
  <c r="L78" i="2"/>
  <c r="M78" i="2" s="1"/>
  <c r="J86" i="2"/>
  <c r="K86" i="2" s="1"/>
  <c r="L86" i="2"/>
  <c r="M86" i="2" s="1"/>
  <c r="J36" i="2"/>
  <c r="K36" i="2" s="1"/>
  <c r="L36" i="2"/>
  <c r="M36" i="2" s="1"/>
  <c r="J60" i="2"/>
  <c r="K60" i="2" s="1"/>
  <c r="L60" i="2"/>
  <c r="M60" i="2" s="1"/>
  <c r="J84" i="2"/>
  <c r="K84" i="2" s="1"/>
  <c r="L84" i="2"/>
  <c r="M84" i="2" s="1"/>
  <c r="J29" i="2"/>
  <c r="K29" i="2" s="1"/>
  <c r="L29" i="2"/>
  <c r="M29" i="2" s="1"/>
  <c r="J79" i="2"/>
  <c r="K79" i="2" s="1"/>
  <c r="L79" i="2"/>
  <c r="M79" i="2" s="1"/>
  <c r="J26" i="2"/>
  <c r="K26" i="2" s="1"/>
  <c r="L26" i="2"/>
  <c r="M26" i="2" s="1"/>
  <c r="J87" i="2"/>
  <c r="K87" i="2" s="1"/>
  <c r="L87" i="2"/>
  <c r="M87" i="2" s="1"/>
  <c r="J27" i="2"/>
  <c r="K27" i="2" s="1"/>
  <c r="L27" i="2"/>
  <c r="M27" i="2" s="1"/>
  <c r="J49" i="2"/>
  <c r="K49" i="2" s="1"/>
  <c r="L49" i="2"/>
  <c r="M49" i="2" s="1"/>
  <c r="J35" i="2"/>
  <c r="K35" i="2" s="1"/>
  <c r="L35" i="2"/>
  <c r="M35" i="2" s="1"/>
  <c r="J57" i="2"/>
  <c r="K57" i="2" s="1"/>
  <c r="L57" i="2"/>
  <c r="M57" i="2" s="1"/>
  <c r="J50" i="2"/>
  <c r="K50" i="2" s="1"/>
  <c r="L50" i="2"/>
  <c r="M50" i="2" s="1"/>
  <c r="J24" i="2"/>
  <c r="K24" i="2" s="1"/>
  <c r="L24" i="2"/>
  <c r="M24" i="2" s="1"/>
  <c r="J58" i="2"/>
  <c r="K58" i="2" s="1"/>
  <c r="L58" i="2"/>
  <c r="M58" i="2" s="1"/>
  <c r="J32" i="2"/>
  <c r="K32" i="2" s="1"/>
  <c r="L32" i="2"/>
  <c r="M32" i="2" s="1"/>
  <c r="J59" i="2"/>
  <c r="K59" i="2" s="1"/>
  <c r="L59" i="2"/>
  <c r="M59" i="2" s="1"/>
  <c r="J81" i="2"/>
  <c r="K81" i="2" s="1"/>
  <c r="L81" i="2"/>
  <c r="M81" i="2" s="1"/>
  <c r="J67" i="2"/>
  <c r="K67" i="2" s="1"/>
  <c r="L67" i="2"/>
  <c r="M67" i="2" s="1"/>
  <c r="J89" i="2"/>
  <c r="K89" i="2" s="1"/>
  <c r="L89" i="2"/>
  <c r="M89" i="2" s="1"/>
  <c r="J75" i="2"/>
  <c r="K75" i="2" s="1"/>
  <c r="L75" i="2"/>
  <c r="M75" i="2" s="1"/>
  <c r="J56" i="2"/>
  <c r="K56" i="2" s="1"/>
  <c r="L56" i="2"/>
  <c r="M56" i="2" s="1"/>
  <c r="J90" i="2"/>
  <c r="K90" i="2" s="1"/>
  <c r="L90" i="2"/>
  <c r="M90" i="2" s="1"/>
  <c r="J23" i="2"/>
  <c r="K23" i="2" s="1"/>
  <c r="L23" i="2"/>
  <c r="M23" i="2" s="1"/>
  <c r="J52" i="2"/>
  <c r="K52" i="2" s="1"/>
  <c r="L52" i="2"/>
  <c r="M52" i="2" s="1"/>
  <c r="J12" i="2"/>
  <c r="K12" i="2" s="1"/>
  <c r="L12" i="2"/>
  <c r="M12" i="2" s="1"/>
  <c r="J72" i="2"/>
  <c r="K72" i="2" s="1"/>
  <c r="L72" i="2"/>
  <c r="M72" i="2" s="1"/>
  <c r="J28" i="2"/>
  <c r="K28" i="2" s="1"/>
  <c r="L28" i="2"/>
  <c r="M28" i="2" s="1"/>
  <c r="J39" i="2"/>
  <c r="K39" i="2" s="1"/>
  <c r="L39" i="2"/>
  <c r="M39" i="2" s="1"/>
  <c r="J13" i="2"/>
  <c r="K13" i="2" s="1"/>
  <c r="L13" i="2"/>
  <c r="M13" i="2" s="1"/>
  <c r="J68" i="2"/>
  <c r="K68" i="2" s="1"/>
  <c r="L68" i="2"/>
  <c r="M68" i="2" s="1"/>
  <c r="J76" i="2"/>
  <c r="K76" i="2" s="1"/>
  <c r="L76" i="2"/>
  <c r="M76" i="2" s="1"/>
  <c r="J47" i="2"/>
  <c r="K47" i="2" s="1"/>
  <c r="L47" i="2"/>
  <c r="M47" i="2" s="1"/>
  <c r="J88" i="2"/>
  <c r="K88" i="2" s="1"/>
  <c r="L88" i="2"/>
  <c r="M88" i="2" s="1"/>
  <c r="J45" i="2"/>
  <c r="K45" i="2" s="1"/>
  <c r="L45" i="2"/>
  <c r="M45" i="2" s="1"/>
  <c r="J37" i="2"/>
  <c r="K37" i="2" s="1"/>
  <c r="L37" i="2"/>
  <c r="M37" i="2" s="1"/>
  <c r="J21" i="2"/>
  <c r="K21" i="2" s="1"/>
  <c r="L21" i="2"/>
  <c r="M21" i="2" s="1"/>
  <c r="J55" i="2"/>
  <c r="K55" i="2" s="1"/>
  <c r="L55" i="2"/>
  <c r="M55" i="2" s="1"/>
  <c r="J9" i="2"/>
  <c r="K9" i="2" s="1"/>
  <c r="L9" i="2"/>
  <c r="M9" i="2" s="1"/>
  <c r="J85" i="2"/>
  <c r="K85" i="2" s="1"/>
  <c r="L85" i="2"/>
  <c r="M85" i="2" s="1"/>
  <c r="J61" i="2"/>
  <c r="K61" i="2" s="1"/>
  <c r="L61" i="2"/>
  <c r="M61" i="2" s="1"/>
  <c r="J53" i="2"/>
  <c r="K53" i="2" s="1"/>
  <c r="L53" i="2"/>
  <c r="M53" i="2" s="1"/>
  <c r="J69" i="2"/>
  <c r="K69" i="2" s="1"/>
  <c r="L69" i="2"/>
  <c r="M69" i="2" s="1"/>
  <c r="J7" i="2"/>
  <c r="K7" i="2" s="1"/>
  <c r="L7" i="2"/>
  <c r="M7" i="2" s="1"/>
  <c r="M2" i="2" l="1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<sst xmlns="http://schemas.openxmlformats.org/spreadsheetml/2006/main" count="21" uniqueCount="21">
  <si>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</si>
  <si>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m1x1+m2x2+…+b</t>
  </si>
  <si>
    <t>P(1)</t>
  </si>
  <si>
    <t>Outcome</t>
  </si>
  <si>
    <t>Difference</t>
  </si>
  <si>
    <t xml:space="preserve"> total Diff=</t>
  </si>
  <si>
    <t>m1</t>
  </si>
  <si>
    <t>m2</t>
  </si>
  <si>
    <t>m3</t>
  </si>
  <si>
    <t>m4</t>
  </si>
  <si>
    <t>m5</t>
  </si>
  <si>
    <t>b</t>
  </si>
  <si>
    <t>Likelihood</t>
  </si>
  <si>
    <t>Log Loss</t>
  </si>
  <si>
    <t>To - Minimize</t>
  </si>
  <si>
    <t>PatientID</t>
  </si>
  <si>
    <t>Gene1</t>
  </si>
  <si>
    <t>Gene2</t>
  </si>
  <si>
    <t>Gene3</t>
  </si>
  <si>
    <t>Gene4</t>
  </si>
  <si>
    <t>Gene5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</si>
</sst>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8"/>
      <name val="Arial"/>
      <family val="2"/>
      <scheme val="minor"/>
    </font>
    <font>
      <b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O102"/>
  <sheetViews>
    <sheetView tabSelected="1" topLeftCell="E1" workbookViewId="0">
      <selection activeCell="M6" sqref="M6"/>
    </sheetView>
  </sheetViews>
  <sheetFormatPr defaultRowHeight="13.5" x14ac:dyDescent="0.35"/>
  <cols>
    <col min="1" max="1" width="12.6875" customWidth="1"/>
    <col min="2" max="9" width="16.6875" customWidth="1"/>
    <col min="10" max="11" width="12.6875" customWidth="1"/>
    <col min="12" max="12" width="16.5625" customWidth="1"/>
    <col min="13" max="13" width="17.5625" customWidth="1"/>
    <col min="14" max="14" width="16.6875" customWidth="1"/>
  </cols>
  <sheetData>
    <row r="1" spans="1:15" ht="13.9" x14ac:dyDescent="0.4">
      <c r="A1" s="1"/>
      <c r="B1" s="2">
        <v>5</v>
      </c>
      <c r="C1" s="2">
        <v>4</v>
      </c>
      <c r="D1" s="2">
        <v>3</v>
      </c>
      <c r="E1" s="2">
        <v>2</v>
      </c>
      <c r="F1" s="2">
        <v>1</v>
      </c>
      <c r="G1" s="2">
        <v>6</v>
      </c>
      <c r="H1" s="1"/>
      <c r="I1" s="1"/>
      <c r="J1" s="1"/>
      <c r="K1" s="1"/>
      <c r="L1" s="3"/>
      <c r="M1" s="3" t="s">
        <v>14</v>
      </c>
      <c r="N1" s="1"/>
      <c r="O1" s="1"/>
    </row>
    <row r="2" spans="1:15" ht="13.9" x14ac:dyDescent="0.4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1"/>
      <c r="I2" s="1"/>
      <c r="J2" s="3" t="s">
        <v>5</v>
      </c>
      <c r="K2" s="2">
        <f>SUM(K6:K92)</f>
        <v>12</v>
      </c>
      <c r="L2" s="2"/>
      <c r="M2" s="2">
        <f>SUM(M6:M92)</f>
        <v>28.721089481032742</v>
      </c>
      <c r="N2" s="1"/>
      <c r="O2" s="1"/>
    </row>
    <row r="3" spans="1:15" ht="13.9" x14ac:dyDescent="0.4">
      <c r="A3" s="1"/>
      <c r="B3" s="2">
        <f>INDEX(LINEST($G$6:$G$92,$B$6:$F$92),1,B$1)</f>
        <v>-3.1646397523048817E-4</v>
      </c>
      <c r="C3" s="2">
        <f t="shared" ref="C3:G3" si="0">INDEX(LINEST($G$6:$G$92,$B$6:$F$92),1,C$1)</f>
        <v>3.0100064130601915E-3</v>
      </c>
      <c r="D3" s="2">
        <f t="shared" si="0"/>
        <v>-5.1330433103881426E-3</v>
      </c>
      <c r="E3" s="2">
        <f t="shared" si="0"/>
        <v>-5.1011808354464684E-4</v>
      </c>
      <c r="F3" s="2">
        <f t="shared" si="0"/>
        <v>-7.4155185513976826E-4</v>
      </c>
      <c r="G3" s="2">
        <f t="shared" si="0"/>
        <v>0.5355740251747082</v>
      </c>
      <c r="H3" s="1"/>
      <c r="I3" s="1"/>
      <c r="J3" s="1"/>
      <c r="K3" s="1"/>
      <c r="L3" s="1"/>
      <c r="M3" s="1"/>
      <c r="N3" s="1"/>
      <c r="O3" s="1"/>
    </row>
    <row r="4" spans="1:15" ht="13.9" x14ac:dyDescent="0.4">
      <c r="A4" s="1"/>
      <c r="B4" s="2">
        <v>-2.0322015911723279E-2</v>
      </c>
      <c r="C4" s="2">
        <v>-7.9436161204050372E-3</v>
      </c>
      <c r="D4" s="2">
        <v>-9.7149701362209073E-2</v>
      </c>
      <c r="E4" s="2">
        <v>-1.073208078590491E-2</v>
      </c>
      <c r="F4" s="2">
        <v>-3.8017052027689473E-3</v>
      </c>
      <c r="G4" s="2">
        <v>4.2237717829255201</v>
      </c>
      <c r="H4" s="1"/>
      <c r="I4" s="1"/>
      <c r="J4" s="1"/>
      <c r="K4" s="1"/>
      <c r="L4" s="1"/>
      <c r="M4" s="1"/>
      <c r="N4" s="1"/>
      <c r="O4" s="1"/>
    </row>
    <row r="5" spans="1:15" ht="13.9" x14ac:dyDescent="0.4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0</v>
      </c>
      <c r="H5" s="3" t="s">
        <v>1</v>
      </c>
      <c r="I5" s="3" t="s">
        <v>2</v>
      </c>
      <c r="J5" s="3" t="s">
        <v>3</v>
      </c>
      <c r="K5" s="3" t="s">
        <v>4</v>
      </c>
      <c r="L5" s="3" t="s">
        <v>12</v>
      </c>
      <c r="M5" s="3" t="s">
        <v>13</v>
      </c>
      <c r="N5" s="3"/>
      <c r="O5" s="1"/>
    </row>
    <row r="6" spans="1:15" ht="13.9" x14ac:dyDescent="0.4">
      <c r="A6" s="2">
        <v>1</v>
      </c>
      <c r="B6" s="2">
        <v>92.082599999999999</v>
      </c>
      <c r="C6" s="2">
        <v>443.37349999999998</v>
      </c>
      <c r="D6" s="2">
        <v>350.94664</v>
      </c>
      <c r="E6" s="2">
        <v>11.1876</v>
      </c>
      <c r="F6" s="2">
        <v>77.926000000000002</v>
      </c>
      <c r="G6" s="2">
        <v>0</v>
      </c>
      <c r="H6" s="2">
        <f>SUMPRODUCT($B$4:$F$4, B6:F6) + $G$4</f>
        <v>-35.680200338129801</v>
      </c>
      <c r="I6" s="2">
        <f>1/(1+EXP(0-H6))</f>
        <v>3.1936394176981137E-16</v>
      </c>
      <c r="J6" s="2">
        <f>IF(I6&lt;=0.5,0,1)</f>
        <v>0</v>
      </c>
      <c r="K6" s="2">
        <f>IF(G6=J6,0,1)</f>
        <v>0</v>
      </c>
      <c r="L6" s="2">
        <f>IF(G6=1,I6,1-I6)</f>
        <v>0.99999999999999967</v>
      </c>
      <c r="M6" s="2">
        <f>IF(L6=0, 1000000, -LN(L6))</f>
        <v>3.3306690738754701E-16</v>
      </c>
      <c r="N6" s="2"/>
      <c r="O6" s="1"/>
    </row>
    <row r="7" spans="1:15" ht="13.9" x14ac:dyDescent="0.4">
      <c r="A7" s="2">
        <v>2</v>
      </c>
      <c r="B7" s="2">
        <v>97.122799999999998</v>
      </c>
      <c r="C7" s="2">
        <v>29.215617999999999</v>
      </c>
      <c r="D7" s="2">
        <v>2.5790069999999998</v>
      </c>
      <c r="E7" s="2">
        <v>301.86840000000001</v>
      </c>
      <c r="F7" s="2">
        <v>171.99680000000001</v>
      </c>
      <c r="G7" s="2">
        <v>0</v>
      </c>
      <c r="H7" s="2">
        <f t="shared" ref="H7:H70" si="1">SUMPRODUCT($B$4:$F$4, B7:F7) + $G$4</f>
        <v>-2.126143902970508</v>
      </c>
      <c r="I7" s="2">
        <f t="shared" ref="I7:I70" si="2">1/(1+EXP(0-H7))</f>
        <v>0.1065816202118165</v>
      </c>
      <c r="J7" s="2">
        <f t="shared" ref="J7:J70" si="3">IF(I7&lt;=0.5,0,1)</f>
        <v>0</v>
      </c>
      <c r="K7" s="2">
        <f t="shared" ref="K7:K70" si="4">IF(G7=J7,0,1)</f>
        <v>0</v>
      </c>
      <c r="L7" s="2">
        <f t="shared" ref="L7:L70" si="5">IF(G7=1,I7,1-I7)</f>
        <v>0.8934183797881835</v>
      </c>
      <c r="M7" s="2">
        <f t="shared" ref="M7:M70" si="6">IF(L7=0, 1000000, -LN(L7))</f>
        <v>0.11270029742126701</v>
      </c>
      <c r="N7" s="2"/>
      <c r="O7" s="1"/>
    </row>
    <row r="8" spans="1:15" ht="13.9" x14ac:dyDescent="0.4">
      <c r="A8" s="2">
        <v>3</v>
      </c>
      <c r="B8" s="2">
        <v>7.7399500000000003</v>
      </c>
      <c r="C8" s="2">
        <v>42.368420999999998</v>
      </c>
      <c r="D8" s="2">
        <v>39.907121000000004</v>
      </c>
      <c r="E8" s="2">
        <v>9.2879000000000005</v>
      </c>
      <c r="F8" s="2">
        <v>104.2632</v>
      </c>
      <c r="G8" s="2">
        <v>1</v>
      </c>
      <c r="H8" s="2">
        <f t="shared" si="1"/>
        <v>-0.64309940658641818</v>
      </c>
      <c r="I8" s="2">
        <f t="shared" si="2"/>
        <v>0.34454625074947032</v>
      </c>
      <c r="J8" s="2">
        <f t="shared" si="3"/>
        <v>0</v>
      </c>
      <c r="K8" s="2">
        <f t="shared" si="4"/>
        <v>1</v>
      </c>
      <c r="L8" s="2">
        <f t="shared" si="5"/>
        <v>0.34454625074947032</v>
      </c>
      <c r="M8" s="2">
        <f t="shared" si="6"/>
        <v>1.0655269428243379</v>
      </c>
      <c r="N8" s="2"/>
      <c r="O8" s="1"/>
    </row>
    <row r="9" spans="1:15" ht="13.9" x14ac:dyDescent="0.4">
      <c r="A9" s="2">
        <v>4</v>
      </c>
      <c r="B9" s="2">
        <v>60.212499999999999</v>
      </c>
      <c r="C9" s="2">
        <v>25.631640999999998</v>
      </c>
      <c r="D9" s="2">
        <v>2.4203069999999998</v>
      </c>
      <c r="E9" s="2">
        <v>14.1677</v>
      </c>
      <c r="F9" s="2">
        <v>94.631600000000006</v>
      </c>
      <c r="G9" s="2">
        <v>1</v>
      </c>
      <c r="H9" s="2">
        <f t="shared" si="1"/>
        <v>2.0495820339291684</v>
      </c>
      <c r="I9" s="2">
        <f t="shared" si="2"/>
        <v>0.88590537876124031</v>
      </c>
      <c r="J9" s="2">
        <f t="shared" si="3"/>
        <v>1</v>
      </c>
      <c r="K9" s="2">
        <f t="shared" si="4"/>
        <v>0</v>
      </c>
      <c r="L9" s="2">
        <f t="shared" si="5"/>
        <v>0.88590537876124031</v>
      </c>
      <c r="M9" s="2">
        <f t="shared" si="6"/>
        <v>0.12114513006069429</v>
      </c>
      <c r="N9" s="2"/>
      <c r="O9" s="1"/>
    </row>
    <row r="10" spans="1:15" ht="13.9" x14ac:dyDescent="0.4">
      <c r="A10" s="2">
        <v>5</v>
      </c>
      <c r="B10" s="2">
        <v>385.47660000000002</v>
      </c>
      <c r="C10" s="2">
        <v>20.329639</v>
      </c>
      <c r="D10" s="2">
        <v>5.8317510000000006</v>
      </c>
      <c r="E10" s="2">
        <v>35.4298</v>
      </c>
      <c r="F10" s="2">
        <v>71.058799999999991</v>
      </c>
      <c r="G10" s="2">
        <v>0</v>
      </c>
      <c r="H10" s="2">
        <f t="shared" si="1"/>
        <v>-4.9883136175136196</v>
      </c>
      <c r="I10" s="2">
        <f t="shared" si="2"/>
        <v>6.7709922508840427E-3</v>
      </c>
      <c r="J10" s="2">
        <f t="shared" si="3"/>
        <v>0</v>
      </c>
      <c r="K10" s="2">
        <f t="shared" si="4"/>
        <v>0</v>
      </c>
      <c r="L10" s="2">
        <f t="shared" si="5"/>
        <v>0.99322900774911593</v>
      </c>
      <c r="M10" s="2">
        <f t="shared" si="6"/>
        <v>6.7940194223110595E-3</v>
      </c>
      <c r="N10" s="2"/>
      <c r="O10" s="1"/>
    </row>
    <row r="11" spans="1:15" ht="13.9" x14ac:dyDescent="0.4">
      <c r="A11" s="2">
        <v>6</v>
      </c>
      <c r="B11" s="2">
        <v>476.64400000000001</v>
      </c>
      <c r="C11" s="2">
        <v>12.487453</v>
      </c>
      <c r="D11" s="2">
        <v>4.4061250000000003</v>
      </c>
      <c r="E11" s="2">
        <v>50.444000000000003</v>
      </c>
      <c r="F11" s="2">
        <v>104.7838</v>
      </c>
      <c r="G11" s="2">
        <v>0</v>
      </c>
      <c r="H11" s="2">
        <f t="shared" si="1"/>
        <v>-6.9295706309601615</v>
      </c>
      <c r="I11" s="2">
        <f t="shared" si="2"/>
        <v>9.7746451016513729E-4</v>
      </c>
      <c r="J11" s="2">
        <f t="shared" si="3"/>
        <v>0</v>
      </c>
      <c r="K11" s="2">
        <f t="shared" si="4"/>
        <v>0</v>
      </c>
      <c r="L11" s="2">
        <f t="shared" si="5"/>
        <v>0.99902253548983488</v>
      </c>
      <c r="M11" s="2">
        <f t="shared" si="6"/>
        <v>9.7794254012970234E-4</v>
      </c>
      <c r="N11" s="2"/>
      <c r="O11" s="1"/>
    </row>
    <row r="12" spans="1:15" ht="13.9" x14ac:dyDescent="0.4">
      <c r="A12" s="2">
        <v>7</v>
      </c>
      <c r="B12" s="2">
        <v>25.89</v>
      </c>
      <c r="C12" s="2">
        <v>18.495145999999998</v>
      </c>
      <c r="D12" s="2">
        <v>28.721682999999999</v>
      </c>
      <c r="E12" s="2">
        <v>6.4724000000000004</v>
      </c>
      <c r="F12" s="2">
        <v>78.398099999999999</v>
      </c>
      <c r="G12" s="2">
        <v>0</v>
      </c>
      <c r="H12" s="2">
        <f t="shared" si="1"/>
        <v>0.39290474065023195</v>
      </c>
      <c r="I12" s="2">
        <f t="shared" si="2"/>
        <v>0.59698176047073659</v>
      </c>
      <c r="J12" s="2">
        <f t="shared" si="3"/>
        <v>1</v>
      </c>
      <c r="K12" s="2">
        <f t="shared" si="4"/>
        <v>1</v>
      </c>
      <c r="L12" s="2">
        <f t="shared" si="5"/>
        <v>0.40301823952926341</v>
      </c>
      <c r="M12" s="2">
        <f t="shared" si="6"/>
        <v>0.90877345868180393</v>
      </c>
      <c r="N12" s="2"/>
      <c r="O12" s="1"/>
    </row>
    <row r="13" spans="1:15" ht="13.9" x14ac:dyDescent="0.4">
      <c r="A13" s="2">
        <v>8</v>
      </c>
      <c r="B13" s="2">
        <v>142.85714999999999</v>
      </c>
      <c r="C13" s="2">
        <v>15.411994</v>
      </c>
      <c r="D13" s="2">
        <v>1.019015</v>
      </c>
      <c r="E13" s="2">
        <v>24.378399999999999</v>
      </c>
      <c r="F13" s="2">
        <v>146.7328</v>
      </c>
      <c r="G13" s="2">
        <v>1</v>
      </c>
      <c r="H13" s="2">
        <f t="shared" si="1"/>
        <v>0.27973673319452486</v>
      </c>
      <c r="I13" s="2">
        <f t="shared" si="2"/>
        <v>0.56948167939304573</v>
      </c>
      <c r="J13" s="2">
        <f t="shared" si="3"/>
        <v>1</v>
      </c>
      <c r="K13" s="2">
        <f t="shared" si="4"/>
        <v>0</v>
      </c>
      <c r="L13" s="2">
        <f t="shared" si="5"/>
        <v>0.56948167939304573</v>
      </c>
      <c r="M13" s="2">
        <f t="shared" si="6"/>
        <v>0.56302866624704107</v>
      </c>
      <c r="N13" s="2"/>
      <c r="O13" s="1"/>
    </row>
    <row r="14" spans="1:15" ht="13.9" x14ac:dyDescent="0.4">
      <c r="A14" s="2">
        <v>9</v>
      </c>
      <c r="B14" s="2">
        <v>188.6454</v>
      </c>
      <c r="C14" s="2">
        <v>26.958862</v>
      </c>
      <c r="D14" s="2">
        <v>12.508009999999999</v>
      </c>
      <c r="E14" s="2">
        <v>82.019800000000004</v>
      </c>
      <c r="F14" s="2">
        <v>137.77710000000002</v>
      </c>
      <c r="G14" s="2">
        <v>0</v>
      </c>
      <c r="H14" s="2">
        <f t="shared" si="1"/>
        <v>-2.4432143619905631</v>
      </c>
      <c r="I14" s="2">
        <f t="shared" si="2"/>
        <v>7.9936188009920112E-2</v>
      </c>
      <c r="J14" s="2">
        <f t="shared" si="3"/>
        <v>0</v>
      </c>
      <c r="K14" s="2">
        <f t="shared" si="4"/>
        <v>0</v>
      </c>
      <c r="L14" s="2">
        <f t="shared" si="5"/>
        <v>0.92006381199007992</v>
      </c>
      <c r="M14" s="2">
        <f t="shared" si="6"/>
        <v>8.3312250485621686E-2</v>
      </c>
      <c r="N14" s="2"/>
      <c r="O14" s="1"/>
    </row>
    <row r="15" spans="1:15" ht="13.9" x14ac:dyDescent="0.4">
      <c r="A15" s="2">
        <v>10</v>
      </c>
      <c r="B15" s="2">
        <v>1383.3642</v>
      </c>
      <c r="C15" s="2">
        <v>14.225508</v>
      </c>
      <c r="D15" s="2">
        <v>1.49353</v>
      </c>
      <c r="E15" s="2">
        <v>312.01479999999998</v>
      </c>
      <c r="F15" s="2">
        <v>787.2921</v>
      </c>
      <c r="G15" s="2">
        <v>0</v>
      </c>
      <c r="H15" s="2">
        <f t="shared" si="1"/>
        <v>-30.488695981994926</v>
      </c>
      <c r="I15" s="2">
        <f t="shared" si="2"/>
        <v>5.7402072727898838E-14</v>
      </c>
      <c r="J15" s="2">
        <f t="shared" si="3"/>
        <v>0</v>
      </c>
      <c r="K15" s="2">
        <f t="shared" si="4"/>
        <v>0</v>
      </c>
      <c r="L15" s="2">
        <f t="shared" si="5"/>
        <v>0.9999999999999426</v>
      </c>
      <c r="M15" s="2">
        <f t="shared" si="6"/>
        <v>5.7398530373122247E-14</v>
      </c>
      <c r="N15" s="2"/>
      <c r="O15" s="1"/>
    </row>
    <row r="16" spans="1:15" ht="13.9" x14ac:dyDescent="0.4">
      <c r="A16" s="2">
        <v>11</v>
      </c>
      <c r="B16" s="2">
        <v>365.39699999999999</v>
      </c>
      <c r="C16" s="2">
        <v>3.2798439999999998</v>
      </c>
      <c r="D16" s="2">
        <v>0.35542000000000001</v>
      </c>
      <c r="E16" s="2">
        <v>74.825400000000002</v>
      </c>
      <c r="F16" s="2">
        <v>132.8732</v>
      </c>
      <c r="G16" s="2">
        <v>0</v>
      </c>
      <c r="H16" s="2">
        <f t="shared" si="1"/>
        <v>-4.5705916070856096</v>
      </c>
      <c r="I16" s="2">
        <f t="shared" si="2"/>
        <v>1.024577116839662E-2</v>
      </c>
      <c r="J16" s="2">
        <f t="shared" si="3"/>
        <v>0</v>
      </c>
      <c r="K16" s="2">
        <f t="shared" si="4"/>
        <v>0</v>
      </c>
      <c r="L16" s="2">
        <f t="shared" si="5"/>
        <v>0.98975422883160336</v>
      </c>
      <c r="M16" s="2">
        <f t="shared" si="6"/>
        <v>1.0298620379004633E-2</v>
      </c>
      <c r="N16" s="2"/>
      <c r="O16" s="1"/>
    </row>
    <row r="17" spans="1:15" ht="13.9" x14ac:dyDescent="0.4">
      <c r="A17" s="2">
        <v>12</v>
      </c>
      <c r="B17" s="2">
        <v>26.89425</v>
      </c>
      <c r="C17" s="2">
        <v>40.682699999999997</v>
      </c>
      <c r="D17" s="2">
        <v>18.960433999999999</v>
      </c>
      <c r="E17" s="2">
        <v>20.687899999999999</v>
      </c>
      <c r="F17" s="2">
        <v>204.8443</v>
      </c>
      <c r="G17" s="2">
        <v>1</v>
      </c>
      <c r="H17" s="2">
        <f t="shared" si="1"/>
        <v>0.51127629899389371</v>
      </c>
      <c r="I17" s="2">
        <f t="shared" si="2"/>
        <v>0.62510562105465295</v>
      </c>
      <c r="J17" s="2">
        <f t="shared" si="3"/>
        <v>1</v>
      </c>
      <c r="K17" s="2">
        <f t="shared" si="4"/>
        <v>0</v>
      </c>
      <c r="L17" s="2">
        <f t="shared" si="5"/>
        <v>0.62510562105465295</v>
      </c>
      <c r="M17" s="2">
        <f t="shared" si="6"/>
        <v>0.4698346498361155</v>
      </c>
      <c r="N17" s="2"/>
      <c r="O17" s="1"/>
    </row>
    <row r="18" spans="1:15" ht="13.9" x14ac:dyDescent="0.4">
      <c r="A18" s="2">
        <v>13</v>
      </c>
      <c r="B18" s="2">
        <v>10.106999999999999</v>
      </c>
      <c r="C18" s="2">
        <v>12.223542999999999</v>
      </c>
      <c r="D18" s="2">
        <v>22.972651999999997</v>
      </c>
      <c r="E18" s="2">
        <v>9.5124999999999993</v>
      </c>
      <c r="F18" s="2">
        <v>42.995199999999997</v>
      </c>
      <c r="G18" s="2">
        <v>1</v>
      </c>
      <c r="H18" s="2">
        <f t="shared" si="1"/>
        <v>1.4239477595745025</v>
      </c>
      <c r="I18" s="2">
        <f t="shared" si="2"/>
        <v>0.80595655465539173</v>
      </c>
      <c r="J18" s="2">
        <f t="shared" si="3"/>
        <v>1</v>
      </c>
      <c r="K18" s="2">
        <f t="shared" si="4"/>
        <v>0</v>
      </c>
      <c r="L18" s="2">
        <f t="shared" si="5"/>
        <v>0.80595655465539173</v>
      </c>
      <c r="M18" s="2">
        <f t="shared" si="6"/>
        <v>0.21572544034096136</v>
      </c>
      <c r="N18" s="2"/>
      <c r="O18" s="1"/>
    </row>
    <row r="19" spans="1:15" ht="13.9" x14ac:dyDescent="0.4">
      <c r="A19" s="2">
        <v>14</v>
      </c>
      <c r="B19" s="2">
        <v>196.50980000000001</v>
      </c>
      <c r="C19" s="2">
        <v>18.721547999999999</v>
      </c>
      <c r="D19" s="2">
        <v>5.2238239999999996</v>
      </c>
      <c r="E19" s="2">
        <v>80.424800000000005</v>
      </c>
      <c r="F19" s="2">
        <v>292.07130000000001</v>
      </c>
      <c r="G19" s="2">
        <v>0</v>
      </c>
      <c r="H19" s="2">
        <f t="shared" si="1"/>
        <v>-2.3994076631242516</v>
      </c>
      <c r="I19" s="2">
        <f t="shared" si="2"/>
        <v>8.3217876295491572E-2</v>
      </c>
      <c r="J19" s="2">
        <f t="shared" si="3"/>
        <v>0</v>
      </c>
      <c r="K19" s="2">
        <f t="shared" si="4"/>
        <v>0</v>
      </c>
      <c r="L19" s="2">
        <f t="shared" si="5"/>
        <v>0.9167821237045084</v>
      </c>
      <c r="M19" s="2">
        <f t="shared" si="6"/>
        <v>8.6885431788868553E-2</v>
      </c>
      <c r="N19" s="2"/>
      <c r="O19" s="1"/>
    </row>
    <row r="20" spans="1:15" ht="13.9" x14ac:dyDescent="0.4">
      <c r="A20" s="2">
        <v>15</v>
      </c>
      <c r="B20" s="2">
        <v>1955.5984000000001</v>
      </c>
      <c r="C20" s="2">
        <v>10.482625000000001</v>
      </c>
      <c r="D20" s="2">
        <v>2.3069500000000001</v>
      </c>
      <c r="E20" s="2">
        <v>44.401600000000002</v>
      </c>
      <c r="F20" s="2">
        <v>83.880300000000005</v>
      </c>
      <c r="G20" s="2">
        <v>0</v>
      </c>
      <c r="H20" s="2">
        <f t="shared" si="1"/>
        <v>-36.620729202450036</v>
      </c>
      <c r="I20" s="2">
        <f t="shared" si="2"/>
        <v>1.246864855913398E-16</v>
      </c>
      <c r="J20" s="2">
        <f t="shared" si="3"/>
        <v>0</v>
      </c>
      <c r="K20" s="2">
        <f t="shared" si="4"/>
        <v>0</v>
      </c>
      <c r="L20" s="2">
        <f t="shared" si="5"/>
        <v>0.99999999999999989</v>
      </c>
      <c r="M20" s="2">
        <f t="shared" si="6"/>
        <v>1.1102230246251565E-16</v>
      </c>
      <c r="N20" s="2"/>
      <c r="O20" s="1"/>
    </row>
    <row r="21" spans="1:15" ht="13.9" x14ac:dyDescent="0.4">
      <c r="A21" s="2">
        <v>16</v>
      </c>
      <c r="B21" s="2">
        <v>740.09900000000005</v>
      </c>
      <c r="C21" s="2">
        <v>10.532177999999998</v>
      </c>
      <c r="D21" s="2">
        <v>6.4108910000000003</v>
      </c>
      <c r="E21" s="2">
        <v>168.3168</v>
      </c>
      <c r="F21" s="2">
        <v>143.81189999999998</v>
      </c>
      <c r="G21" s="2">
        <v>0</v>
      </c>
      <c r="H21" s="2">
        <f t="shared" si="1"/>
        <v>-13.876131540059504</v>
      </c>
      <c r="I21" s="2">
        <f t="shared" si="2"/>
        <v>9.4117901039566388E-7</v>
      </c>
      <c r="J21" s="2">
        <f t="shared" si="3"/>
        <v>0</v>
      </c>
      <c r="K21" s="2">
        <f t="shared" si="4"/>
        <v>0</v>
      </c>
      <c r="L21" s="2">
        <f t="shared" si="5"/>
        <v>0.99999905882098961</v>
      </c>
      <c r="M21" s="2">
        <f t="shared" si="6"/>
        <v>9.4117945330338686E-7</v>
      </c>
      <c r="N21" s="2"/>
      <c r="O21" s="1"/>
    </row>
    <row r="22" spans="1:15" ht="13.9" x14ac:dyDescent="0.4">
      <c r="A22" s="2">
        <v>17</v>
      </c>
      <c r="B22" s="2">
        <v>327.31139999999999</v>
      </c>
      <c r="C22" s="2">
        <v>13.294367999999999</v>
      </c>
      <c r="D22" s="2">
        <v>12.592986000000002</v>
      </c>
      <c r="E22" s="2">
        <v>95.643000000000001</v>
      </c>
      <c r="F22" s="2">
        <v>327.86930000000001</v>
      </c>
      <c r="G22" s="2">
        <v>0</v>
      </c>
      <c r="H22" s="2">
        <f t="shared" si="1"/>
        <v>-6.0297767073212958</v>
      </c>
      <c r="I22" s="2">
        <f t="shared" si="2"/>
        <v>2.4002560768549928E-3</v>
      </c>
      <c r="J22" s="2">
        <f t="shared" si="3"/>
        <v>0</v>
      </c>
      <c r="K22" s="2">
        <f t="shared" si="4"/>
        <v>0</v>
      </c>
      <c r="L22" s="2">
        <f t="shared" si="5"/>
        <v>0.99759974392314499</v>
      </c>
      <c r="M22" s="2">
        <f t="shared" si="6"/>
        <v>2.4031413092613181E-3</v>
      </c>
      <c r="N22" s="2"/>
      <c r="O22" s="1"/>
    </row>
    <row r="23" spans="1:15" ht="13.9" x14ac:dyDescent="0.4">
      <c r="A23" s="2">
        <v>18</v>
      </c>
      <c r="B23" s="2">
        <v>490.31259999999997</v>
      </c>
      <c r="C23" s="2">
        <v>14.897055</v>
      </c>
      <c r="D23" s="2">
        <v>8.7857430000000001</v>
      </c>
      <c r="E23" s="2">
        <v>44.573799999999999</v>
      </c>
      <c r="F23" s="2">
        <v>264.29129999999998</v>
      </c>
      <c r="G23" s="2">
        <v>0</v>
      </c>
      <c r="H23" s="2">
        <f t="shared" si="1"/>
        <v>-8.1953647037239072</v>
      </c>
      <c r="I23" s="2">
        <f t="shared" si="2"/>
        <v>2.7585350965020778E-4</v>
      </c>
      <c r="J23" s="2">
        <f t="shared" si="3"/>
        <v>0</v>
      </c>
      <c r="K23" s="2">
        <f t="shared" si="4"/>
        <v>0</v>
      </c>
      <c r="L23" s="2">
        <f t="shared" si="5"/>
        <v>0.9997241464903498</v>
      </c>
      <c r="M23" s="2">
        <f t="shared" si="6"/>
        <v>2.7589156422808348E-4</v>
      </c>
      <c r="N23" s="2"/>
      <c r="O23" s="1"/>
    </row>
    <row r="24" spans="1:15" ht="13.9" x14ac:dyDescent="0.4">
      <c r="A24" s="2">
        <v>19</v>
      </c>
      <c r="B24" s="2">
        <v>67.775549999999996</v>
      </c>
      <c r="C24" s="2">
        <v>23.059925</v>
      </c>
      <c r="D24" s="2">
        <v>1.0064870000000001</v>
      </c>
      <c r="E24" s="2">
        <v>61.687899999999999</v>
      </c>
      <c r="F24" s="2">
        <v>101.27209999999999</v>
      </c>
      <c r="G24" s="2">
        <v>1</v>
      </c>
      <c r="H24" s="2">
        <f t="shared" si="1"/>
        <v>1.5184306781812862</v>
      </c>
      <c r="I24" s="2">
        <f t="shared" si="2"/>
        <v>0.82030727372276746</v>
      </c>
      <c r="J24" s="2">
        <f t="shared" si="3"/>
        <v>1</v>
      </c>
      <c r="K24" s="2">
        <f t="shared" si="4"/>
        <v>0</v>
      </c>
      <c r="L24" s="2">
        <f t="shared" si="5"/>
        <v>0.82030727372276746</v>
      </c>
      <c r="M24" s="2">
        <f t="shared" si="6"/>
        <v>0.19807628486320603</v>
      </c>
      <c r="N24" s="2"/>
      <c r="O24" s="1"/>
    </row>
    <row r="25" spans="1:15" ht="13.9" x14ac:dyDescent="0.4">
      <c r="A25" s="2">
        <v>20</v>
      </c>
      <c r="B25" s="2">
        <v>331.79719999999998</v>
      </c>
      <c r="C25" s="2">
        <v>13.179724</v>
      </c>
      <c r="D25" s="2">
        <v>6.9585249999999998</v>
      </c>
      <c r="E25" s="2">
        <v>36.866399999999999</v>
      </c>
      <c r="F25" s="2">
        <v>195.5069</v>
      </c>
      <c r="G25" s="2">
        <v>0</v>
      </c>
      <c r="H25" s="2">
        <f t="shared" si="1"/>
        <v>-4.4386422706327791</v>
      </c>
      <c r="I25" s="2">
        <f t="shared" si="2"/>
        <v>1.1674071365880031E-2</v>
      </c>
      <c r="J25" s="2">
        <f t="shared" si="3"/>
        <v>0</v>
      </c>
      <c r="K25" s="2">
        <f t="shared" si="4"/>
        <v>0</v>
      </c>
      <c r="L25" s="2">
        <f t="shared" si="5"/>
        <v>0.98832592863411994</v>
      </c>
      <c r="M25" s="2">
        <f t="shared" si="6"/>
        <v>1.1742748353616796E-2</v>
      </c>
      <c r="N25" s="2"/>
      <c r="O25" s="1"/>
    </row>
    <row r="26" spans="1:15" ht="13.9" x14ac:dyDescent="0.4">
      <c r="A26" s="2">
        <v>21</v>
      </c>
      <c r="B26" s="2">
        <v>134.7414</v>
      </c>
      <c r="C26" s="2">
        <v>14.555197</v>
      </c>
      <c r="D26" s="2">
        <v>10.089931999999999</v>
      </c>
      <c r="E26" s="2">
        <v>219.34639999999999</v>
      </c>
      <c r="F26" s="2">
        <v>148.774</v>
      </c>
      <c r="G26" s="2">
        <v>0</v>
      </c>
      <c r="H26" s="2">
        <f t="shared" si="1"/>
        <v>-2.5299380446663795</v>
      </c>
      <c r="I26" s="2">
        <f t="shared" si="2"/>
        <v>7.3785880612606145E-2</v>
      </c>
      <c r="J26" s="2">
        <f t="shared" si="3"/>
        <v>0</v>
      </c>
      <c r="K26" s="2">
        <f t="shared" si="4"/>
        <v>0</v>
      </c>
      <c r="L26" s="2">
        <f t="shared" si="5"/>
        <v>0.92621411938739384</v>
      </c>
      <c r="M26" s="2">
        <f t="shared" si="6"/>
        <v>7.664984062564531E-2</v>
      </c>
      <c r="N26" s="2"/>
      <c r="O26" s="1"/>
    </row>
    <row r="27" spans="1:15" ht="13.9" x14ac:dyDescent="0.4">
      <c r="A27" s="2">
        <v>22</v>
      </c>
      <c r="B27" s="2">
        <v>320.17540000000002</v>
      </c>
      <c r="C27" s="2">
        <v>1.677632</v>
      </c>
      <c r="D27" s="2">
        <v>3.936404</v>
      </c>
      <c r="E27" s="2">
        <v>92.105199999999996</v>
      </c>
      <c r="F27" s="2">
        <v>133.55259999999998</v>
      </c>
      <c r="G27" s="2">
        <v>0</v>
      </c>
      <c r="H27" s="2">
        <f t="shared" si="1"/>
        <v>-4.1747927895224075</v>
      </c>
      <c r="I27" s="2">
        <f t="shared" si="2"/>
        <v>1.5145465198840247E-2</v>
      </c>
      <c r="J27" s="2">
        <f t="shared" si="3"/>
        <v>0</v>
      </c>
      <c r="K27" s="2">
        <f t="shared" si="4"/>
        <v>0</v>
      </c>
      <c r="L27" s="2">
        <f t="shared" si="5"/>
        <v>0.9848545348011597</v>
      </c>
      <c r="M27" s="2">
        <f t="shared" si="6"/>
        <v>1.5261329120786912E-2</v>
      </c>
      <c r="N27" s="2"/>
      <c r="O27" s="1"/>
    </row>
    <row r="28" spans="1:15" ht="13.9" x14ac:dyDescent="0.4">
      <c r="A28" s="2">
        <v>23</v>
      </c>
      <c r="B28" s="2">
        <v>86.603800000000007</v>
      </c>
      <c r="C28" s="2">
        <v>19.735692</v>
      </c>
      <c r="D28" s="2">
        <v>12.357707</v>
      </c>
      <c r="E28" s="2">
        <v>16.654599999999999</v>
      </c>
      <c r="F28" s="2">
        <v>94.949299999999994</v>
      </c>
      <c r="G28" s="2">
        <v>0</v>
      </c>
      <c r="H28" s="2">
        <f t="shared" si="1"/>
        <v>0.56677991515338855</v>
      </c>
      <c r="I28" s="2">
        <f t="shared" si="2"/>
        <v>0.63801982586754169</v>
      </c>
      <c r="J28" s="2">
        <f t="shared" si="3"/>
        <v>1</v>
      </c>
      <c r="K28" s="2">
        <f t="shared" si="4"/>
        <v>1</v>
      </c>
      <c r="L28" s="2">
        <f t="shared" si="5"/>
        <v>0.36198017413245831</v>
      </c>
      <c r="M28" s="2">
        <f t="shared" si="6"/>
        <v>1.0161658362460593</v>
      </c>
      <c r="N28" s="2"/>
      <c r="O28" s="1"/>
    </row>
    <row r="29" spans="1:15" ht="13.9" x14ac:dyDescent="0.4">
      <c r="A29" s="2">
        <v>24</v>
      </c>
      <c r="B29" s="2">
        <v>223.03639999999999</v>
      </c>
      <c r="C29" s="2">
        <v>6.8653369999999994</v>
      </c>
      <c r="D29" s="2">
        <v>11.744256999999999</v>
      </c>
      <c r="E29" s="2">
        <v>20.909600000000001</v>
      </c>
      <c r="F29" s="2">
        <v>485.88369999999998</v>
      </c>
      <c r="G29" s="2">
        <v>0</v>
      </c>
      <c r="H29" s="2">
        <f t="shared" si="1"/>
        <v>-3.5758542553357886</v>
      </c>
      <c r="I29" s="2">
        <f t="shared" si="2"/>
        <v>2.7229314217755544E-2</v>
      </c>
      <c r="J29" s="2">
        <f t="shared" si="3"/>
        <v>0</v>
      </c>
      <c r="K29" s="2">
        <f t="shared" si="4"/>
        <v>0</v>
      </c>
      <c r="L29" s="2">
        <f t="shared" si="5"/>
        <v>0.97277068578224446</v>
      </c>
      <c r="M29" s="2">
        <f t="shared" si="6"/>
        <v>2.7606902082980854E-2</v>
      </c>
      <c r="N29" s="2"/>
      <c r="O29" s="1"/>
    </row>
    <row r="30" spans="1:15" ht="13.9" x14ac:dyDescent="0.4">
      <c r="A30" s="2">
        <v>25</v>
      </c>
      <c r="B30" s="2">
        <v>380.80500000000001</v>
      </c>
      <c r="C30" s="2">
        <v>14.504644000000001</v>
      </c>
      <c r="D30" s="2">
        <v>8.8080499999999997</v>
      </c>
      <c r="E30" s="2">
        <v>49.535600000000002</v>
      </c>
      <c r="F30" s="2">
        <v>209.2105</v>
      </c>
      <c r="G30" s="2">
        <v>0</v>
      </c>
      <c r="H30" s="2">
        <f t="shared" si="1"/>
        <v>-5.8128489446229699</v>
      </c>
      <c r="I30" s="2">
        <f t="shared" si="2"/>
        <v>2.9799957952771562E-3</v>
      </c>
      <c r="J30" s="2">
        <f t="shared" si="3"/>
        <v>0</v>
      </c>
      <c r="K30" s="2">
        <f t="shared" si="4"/>
        <v>0</v>
      </c>
      <c r="L30" s="2">
        <f t="shared" si="5"/>
        <v>0.99702000420472281</v>
      </c>
      <c r="M30" s="2">
        <f t="shared" si="6"/>
        <v>2.9844448236695021E-3</v>
      </c>
      <c r="N30" s="2"/>
      <c r="O30" s="1"/>
    </row>
    <row r="31" spans="1:15" ht="13.9" x14ac:dyDescent="0.4">
      <c r="A31" s="2">
        <v>26</v>
      </c>
      <c r="B31" s="2">
        <v>192.72819999999999</v>
      </c>
      <c r="C31" s="2">
        <v>10.003011000000001</v>
      </c>
      <c r="D31" s="2">
        <v>15.344934</v>
      </c>
      <c r="E31" s="2">
        <v>23.043600000000001</v>
      </c>
      <c r="F31" s="2">
        <v>144.40770000000001</v>
      </c>
      <c r="G31" s="2">
        <v>0</v>
      </c>
      <c r="H31" s="2">
        <f t="shared" si="1"/>
        <v>-2.0593708802752388</v>
      </c>
      <c r="I31" s="2">
        <f t="shared" si="2"/>
        <v>0.11310892504411486</v>
      </c>
      <c r="J31" s="2">
        <f t="shared" si="3"/>
        <v>0</v>
      </c>
      <c r="K31" s="2">
        <f t="shared" si="4"/>
        <v>0</v>
      </c>
      <c r="L31" s="2">
        <f t="shared" si="5"/>
        <v>0.88689107495588515</v>
      </c>
      <c r="M31" s="2">
        <f t="shared" si="6"/>
        <v>0.12003310584138374</v>
      </c>
      <c r="N31" s="2"/>
      <c r="O31" s="1"/>
    </row>
    <row r="32" spans="1:15" ht="13.9" x14ac:dyDescent="0.4">
      <c r="A32" s="2">
        <v>27</v>
      </c>
      <c r="B32" s="2">
        <v>585.82399999999996</v>
      </c>
      <c r="C32" s="2">
        <v>23.825790000000001</v>
      </c>
      <c r="D32" s="2">
        <v>5.473954</v>
      </c>
      <c r="E32" s="2">
        <v>751.49440000000004</v>
      </c>
      <c r="F32" s="2">
        <v>188.9624</v>
      </c>
      <c r="G32" s="2">
        <v>0</v>
      </c>
      <c r="H32" s="2">
        <f t="shared" si="1"/>
        <v>-17.185886742602559</v>
      </c>
      <c r="I32" s="2">
        <f t="shared" si="2"/>
        <v>3.4376701741447886E-8</v>
      </c>
      <c r="J32" s="2">
        <f t="shared" si="3"/>
        <v>0</v>
      </c>
      <c r="K32" s="2">
        <f t="shared" si="4"/>
        <v>0</v>
      </c>
      <c r="L32" s="2">
        <f t="shared" si="5"/>
        <v>0.99999996562329829</v>
      </c>
      <c r="M32" s="2">
        <f t="shared" si="6"/>
        <v>3.4376702298351356E-8</v>
      </c>
      <c r="N32" s="2"/>
      <c r="O32" s="1"/>
    </row>
    <row r="33" spans="1:15" ht="13.9" x14ac:dyDescent="0.4">
      <c r="A33" s="2">
        <v>28</v>
      </c>
      <c r="B33" s="2">
        <v>22.633749999999999</v>
      </c>
      <c r="C33" s="2">
        <v>16.985596999999999</v>
      </c>
      <c r="D33" s="2">
        <v>21.934155999999998</v>
      </c>
      <c r="E33" s="2">
        <v>34.979399999999998</v>
      </c>
      <c r="F33" s="2">
        <v>154.34979999999999</v>
      </c>
      <c r="G33" s="2">
        <v>1</v>
      </c>
      <c r="H33" s="2">
        <f t="shared" si="1"/>
        <v>0.53579040375871534</v>
      </c>
      <c r="I33" s="2">
        <f t="shared" si="2"/>
        <v>0.63083261613984531</v>
      </c>
      <c r="J33" s="2">
        <f t="shared" si="3"/>
        <v>1</v>
      </c>
      <c r="K33" s="2">
        <f t="shared" si="4"/>
        <v>0</v>
      </c>
      <c r="L33" s="2">
        <f t="shared" si="5"/>
        <v>0.63083261613984531</v>
      </c>
      <c r="M33" s="2">
        <f t="shared" si="6"/>
        <v>0.46071471923781709</v>
      </c>
      <c r="N33" s="2"/>
      <c r="O33" s="1"/>
    </row>
    <row r="34" spans="1:15" ht="13.9" x14ac:dyDescent="0.4">
      <c r="A34" s="2">
        <v>29</v>
      </c>
      <c r="B34" s="2">
        <v>281.97320000000002</v>
      </c>
      <c r="C34" s="2">
        <v>7.5761270000000005</v>
      </c>
      <c r="D34" s="2">
        <v>4.4457979999999999</v>
      </c>
      <c r="E34" s="2">
        <v>9.7441999999999993</v>
      </c>
      <c r="F34" s="2">
        <v>62.337400000000002</v>
      </c>
      <c r="G34" s="2">
        <v>1</v>
      </c>
      <c r="H34" s="2">
        <f t="shared" si="1"/>
        <v>-2.3401458262392563</v>
      </c>
      <c r="I34" s="2">
        <f t="shared" si="2"/>
        <v>8.785222845582466E-2</v>
      </c>
      <c r="J34" s="2">
        <f t="shared" si="3"/>
        <v>0</v>
      </c>
      <c r="K34" s="2">
        <f t="shared" si="4"/>
        <v>1</v>
      </c>
      <c r="L34" s="2">
        <f t="shared" si="5"/>
        <v>8.785222845582466E-2</v>
      </c>
      <c r="M34" s="2">
        <f t="shared" si="6"/>
        <v>2.4320990980705908</v>
      </c>
      <c r="N34" s="2"/>
      <c r="O34" s="1"/>
    </row>
    <row r="35" spans="1:15" ht="13.9" x14ac:dyDescent="0.4">
      <c r="A35" s="2">
        <v>30</v>
      </c>
      <c r="B35" s="2">
        <v>320.488</v>
      </c>
      <c r="C35" s="2">
        <v>11.435773999999999</v>
      </c>
      <c r="D35" s="2">
        <v>3.7536059999999996</v>
      </c>
      <c r="E35" s="2">
        <v>23.857600000000001</v>
      </c>
      <c r="F35" s="2">
        <v>63.967500000000001</v>
      </c>
      <c r="G35" s="2">
        <v>0</v>
      </c>
      <c r="H35" s="2">
        <f t="shared" si="1"/>
        <v>-3.2439208213338828</v>
      </c>
      <c r="I35" s="2">
        <f t="shared" si="2"/>
        <v>3.7545949538439309E-2</v>
      </c>
      <c r="J35" s="2">
        <f t="shared" si="3"/>
        <v>0</v>
      </c>
      <c r="K35" s="2">
        <f t="shared" si="4"/>
        <v>0</v>
      </c>
      <c r="L35" s="2">
        <f t="shared" si="5"/>
        <v>0.96245405046156074</v>
      </c>
      <c r="M35" s="2">
        <f t="shared" si="6"/>
        <v>3.8268953739973972E-2</v>
      </c>
      <c r="N35" s="2"/>
      <c r="O35" s="1"/>
    </row>
    <row r="36" spans="1:15" ht="13.9" x14ac:dyDescent="0.4">
      <c r="A36" s="2">
        <v>31</v>
      </c>
      <c r="B36" s="2">
        <v>775.38440000000003</v>
      </c>
      <c r="C36" s="2">
        <v>4.2702330000000002</v>
      </c>
      <c r="D36" s="2">
        <v>3.2026749999999997</v>
      </c>
      <c r="E36" s="2">
        <v>0</v>
      </c>
      <c r="F36" s="2">
        <v>137.37450000000001</v>
      </c>
      <c r="G36" s="2">
        <v>0</v>
      </c>
      <c r="H36" s="2">
        <f t="shared" si="1"/>
        <v>-12.400919694461166</v>
      </c>
      <c r="I36" s="2">
        <f t="shared" si="2"/>
        <v>4.1147856740781095E-6</v>
      </c>
      <c r="J36" s="2">
        <f t="shared" si="3"/>
        <v>0</v>
      </c>
      <c r="K36" s="2">
        <f t="shared" si="4"/>
        <v>0</v>
      </c>
      <c r="L36" s="2">
        <f t="shared" si="5"/>
        <v>0.99999588521432592</v>
      </c>
      <c r="M36" s="2">
        <f t="shared" si="6"/>
        <v>4.114794139834651E-6</v>
      </c>
      <c r="N36" s="2"/>
      <c r="O36" s="1"/>
    </row>
    <row r="37" spans="1:15" ht="13.9" x14ac:dyDescent="0.4">
      <c r="A37" s="2">
        <v>32</v>
      </c>
      <c r="B37" s="2">
        <v>220.5718</v>
      </c>
      <c r="C37" s="2">
        <v>14.028964</v>
      </c>
      <c r="D37" s="2">
        <v>19.257334</v>
      </c>
      <c r="E37" s="2">
        <v>151.50380000000001</v>
      </c>
      <c r="F37" s="2">
        <v>111.1493</v>
      </c>
      <c r="G37" s="2">
        <v>0</v>
      </c>
      <c r="H37" s="2">
        <f t="shared" si="1"/>
        <v>-4.2894846911329294</v>
      </c>
      <c r="I37" s="2">
        <f t="shared" si="2"/>
        <v>1.3526513970822137E-2</v>
      </c>
      <c r="J37" s="2">
        <f t="shared" si="3"/>
        <v>0</v>
      </c>
      <c r="K37" s="2">
        <f t="shared" si="4"/>
        <v>0</v>
      </c>
      <c r="L37" s="2">
        <f t="shared" si="5"/>
        <v>0.98647348602917784</v>
      </c>
      <c r="M37" s="2">
        <f t="shared" si="6"/>
        <v>1.3618830688381354E-2</v>
      </c>
      <c r="N37" s="2"/>
      <c r="O37" s="1"/>
    </row>
    <row r="38" spans="1:15" ht="13.9" x14ac:dyDescent="0.4">
      <c r="A38" s="2">
        <v>33</v>
      </c>
      <c r="B38" s="2">
        <v>51.459299999999999</v>
      </c>
      <c r="C38" s="2">
        <v>8.6175119999999996</v>
      </c>
      <c r="D38" s="2">
        <v>9.5852529999999998</v>
      </c>
      <c r="E38" s="2">
        <v>21.505400000000002</v>
      </c>
      <c r="F38" s="2">
        <v>32.794199999999996</v>
      </c>
      <c r="G38" s="2">
        <v>1</v>
      </c>
      <c r="H38" s="2">
        <f t="shared" si="1"/>
        <v>1.8228848249533312</v>
      </c>
      <c r="I38" s="2">
        <f t="shared" si="2"/>
        <v>0.86091192322372256</v>
      </c>
      <c r="J38" s="2">
        <f t="shared" si="3"/>
        <v>1</v>
      </c>
      <c r="K38" s="2">
        <f t="shared" si="4"/>
        <v>0</v>
      </c>
      <c r="L38" s="2">
        <f t="shared" si="5"/>
        <v>0.86091192322372256</v>
      </c>
      <c r="M38" s="2">
        <f t="shared" si="6"/>
        <v>0.14976307569439645</v>
      </c>
      <c r="N38" s="2"/>
      <c r="O38" s="1"/>
    </row>
    <row r="39" spans="1:15" ht="13.9" x14ac:dyDescent="0.4">
      <c r="A39" s="2">
        <v>34</v>
      </c>
      <c r="B39" s="2">
        <v>122.3764</v>
      </c>
      <c r="C39" s="2">
        <v>9.0537179999999999</v>
      </c>
      <c r="D39" s="2">
        <v>6.6702239999999993</v>
      </c>
      <c r="E39" s="2">
        <v>72.572000000000003</v>
      </c>
      <c r="F39" s="2">
        <v>318.48989999999998</v>
      </c>
      <c r="G39" s="2">
        <v>0</v>
      </c>
      <c r="H39" s="2">
        <f t="shared" si="1"/>
        <v>-0.97274617162138632</v>
      </c>
      <c r="I39" s="2">
        <f t="shared" si="2"/>
        <v>0.27433347048300083</v>
      </c>
      <c r="J39" s="2">
        <f t="shared" si="3"/>
        <v>0</v>
      </c>
      <c r="K39" s="2">
        <f t="shared" si="4"/>
        <v>0</v>
      </c>
      <c r="L39" s="2">
        <f t="shared" si="5"/>
        <v>0.72566652951699917</v>
      </c>
      <c r="M39" s="2">
        <f t="shared" si="6"/>
        <v>0.32066469541388093</v>
      </c>
      <c r="N39" s="2"/>
      <c r="O39" s="1"/>
    </row>
    <row r="40" spans="1:15" ht="13.9" x14ac:dyDescent="0.4">
      <c r="A40" s="2">
        <v>35</v>
      </c>
      <c r="B40" s="2">
        <v>69.549800000000005</v>
      </c>
      <c r="C40" s="2">
        <v>36.724414000000003</v>
      </c>
      <c r="D40" s="2">
        <v>39.827811000000004</v>
      </c>
      <c r="E40" s="2">
        <v>47.420400000000001</v>
      </c>
      <c r="F40" s="2">
        <v>104.0339</v>
      </c>
      <c r="G40" s="2">
        <v>0</v>
      </c>
      <c r="H40" s="2">
        <f t="shared" si="1"/>
        <v>-2.2550307335492557</v>
      </c>
      <c r="I40" s="2">
        <f t="shared" si="2"/>
        <v>9.4916406649367208E-2</v>
      </c>
      <c r="J40" s="2">
        <f t="shared" si="3"/>
        <v>0</v>
      </c>
      <c r="K40" s="2">
        <f t="shared" si="4"/>
        <v>0</v>
      </c>
      <c r="L40" s="2">
        <f t="shared" si="5"/>
        <v>0.90508359335063282</v>
      </c>
      <c r="M40" s="2">
        <f t="shared" si="6"/>
        <v>9.9727971204662993E-2</v>
      </c>
      <c r="N40" s="2"/>
      <c r="O40" s="1"/>
    </row>
    <row r="41" spans="1:15" ht="13.9" x14ac:dyDescent="0.4">
      <c r="A41" s="2">
        <v>36</v>
      </c>
      <c r="B41" s="2">
        <v>161.37200000000001</v>
      </c>
      <c r="C41" s="2">
        <v>6.2935049999999997</v>
      </c>
      <c r="D41" s="2">
        <v>1.8288820000000001</v>
      </c>
      <c r="E41" s="2">
        <v>59.169800000000002</v>
      </c>
      <c r="F41" s="2">
        <v>193.7681</v>
      </c>
      <c r="G41" s="2">
        <v>0</v>
      </c>
      <c r="H41" s="2">
        <f t="shared" si="1"/>
        <v>-0.6549653642661486</v>
      </c>
      <c r="I41" s="2">
        <f t="shared" si="2"/>
        <v>0.34187147778906968</v>
      </c>
      <c r="J41" s="2">
        <f t="shared" si="3"/>
        <v>0</v>
      </c>
      <c r="K41" s="2">
        <f t="shared" si="4"/>
        <v>0</v>
      </c>
      <c r="L41" s="2">
        <f t="shared" si="5"/>
        <v>0.65812852221093032</v>
      </c>
      <c r="M41" s="2">
        <f t="shared" si="6"/>
        <v>0.41835504422076492</v>
      </c>
      <c r="N41" s="2"/>
      <c r="O41" s="1"/>
    </row>
    <row r="42" spans="1:15" ht="13.9" x14ac:dyDescent="0.4">
      <c r="A42" s="2">
        <v>37</v>
      </c>
      <c r="B42" s="2">
        <v>551.65499999999997</v>
      </c>
      <c r="C42" s="2">
        <v>27.582748000000002</v>
      </c>
      <c r="D42" s="2">
        <v>5.4262789999999992</v>
      </c>
      <c r="E42" s="2">
        <v>306.92079999999999</v>
      </c>
      <c r="F42" s="2">
        <v>181.46940000000001</v>
      </c>
      <c r="G42" s="2">
        <v>0</v>
      </c>
      <c r="H42" s="2">
        <f t="shared" si="1"/>
        <v>-11.717030033470003</v>
      </c>
      <c r="I42" s="2">
        <f t="shared" si="2"/>
        <v>8.1537045562471739E-6</v>
      </c>
      <c r="J42" s="2">
        <f t="shared" si="3"/>
        <v>0</v>
      </c>
      <c r="K42" s="2">
        <f t="shared" si="4"/>
        <v>0</v>
      </c>
      <c r="L42" s="2">
        <f t="shared" si="5"/>
        <v>0.9999918462954438</v>
      </c>
      <c r="M42" s="2">
        <f t="shared" si="6"/>
        <v>8.1537377978315909E-6</v>
      </c>
      <c r="N42" s="2"/>
      <c r="O42" s="1"/>
    </row>
    <row r="43" spans="1:15" ht="13.9" x14ac:dyDescent="0.4">
      <c r="A43" s="2">
        <v>38</v>
      </c>
      <c r="B43" s="2">
        <v>182.38339999999999</v>
      </c>
      <c r="C43" s="2">
        <v>19.927461000000001</v>
      </c>
      <c r="D43" s="2">
        <v>2.7875650000000003</v>
      </c>
      <c r="E43" s="2">
        <v>10.3626</v>
      </c>
      <c r="F43" s="2">
        <v>118.2642</v>
      </c>
      <c r="G43" s="2">
        <v>0</v>
      </c>
      <c r="H43" s="2">
        <f t="shared" si="1"/>
        <v>-0.47255166641808621</v>
      </c>
      <c r="I43" s="2">
        <f t="shared" si="2"/>
        <v>0.3840124764778946</v>
      </c>
      <c r="J43" s="2">
        <f t="shared" si="3"/>
        <v>0</v>
      </c>
      <c r="K43" s="2">
        <f t="shared" si="4"/>
        <v>0</v>
      </c>
      <c r="L43" s="2">
        <f t="shared" si="5"/>
        <v>0.6159875235221054</v>
      </c>
      <c r="M43" s="2">
        <f t="shared" si="6"/>
        <v>0.48452856967628893</v>
      </c>
      <c r="N43" s="2"/>
      <c r="O43" s="1"/>
    </row>
    <row r="44" spans="1:15" ht="13.9" x14ac:dyDescent="0.4">
      <c r="A44" s="2">
        <v>39</v>
      </c>
      <c r="B44" s="2">
        <v>328.18959999999998</v>
      </c>
      <c r="C44" s="2">
        <v>3.979425</v>
      </c>
      <c r="D44" s="2">
        <v>1.937022</v>
      </c>
      <c r="E44" s="2">
        <v>341.23700000000002</v>
      </c>
      <c r="F44" s="2">
        <v>519.79359999999997</v>
      </c>
      <c r="G44" s="2">
        <v>0</v>
      </c>
      <c r="H44" s="2">
        <f t="shared" si="1"/>
        <v>-8.3037797083743854</v>
      </c>
      <c r="I44" s="2">
        <f t="shared" si="2"/>
        <v>2.4751799859327789E-4</v>
      </c>
      <c r="J44" s="2">
        <f t="shared" si="3"/>
        <v>0</v>
      </c>
      <c r="K44" s="2">
        <f t="shared" si="4"/>
        <v>0</v>
      </c>
      <c r="L44" s="2">
        <f t="shared" si="5"/>
        <v>0.99975248200140676</v>
      </c>
      <c r="M44" s="2">
        <f t="shared" si="6"/>
        <v>2.4754863622873408E-4</v>
      </c>
      <c r="N44" s="2"/>
      <c r="O44" s="1"/>
    </row>
    <row r="45" spans="1:15" ht="13.9" x14ac:dyDescent="0.4">
      <c r="A45" s="2">
        <v>40</v>
      </c>
      <c r="B45" s="2">
        <v>241.71199999999999</v>
      </c>
      <c r="C45" s="2">
        <v>8.6438300000000012</v>
      </c>
      <c r="D45" s="2">
        <v>19.643475000000002</v>
      </c>
      <c r="E45" s="2">
        <v>970.35080000000005</v>
      </c>
      <c r="F45" s="2">
        <v>78.42179999999999</v>
      </c>
      <c r="G45" s="2">
        <v>0</v>
      </c>
      <c r="H45" s="2">
        <f t="shared" si="1"/>
        <v>-13.377344065762966</v>
      </c>
      <c r="I45" s="2">
        <f t="shared" si="2"/>
        <v>1.5498605239587841E-6</v>
      </c>
      <c r="J45" s="2">
        <f t="shared" si="3"/>
        <v>0</v>
      </c>
      <c r="K45" s="2">
        <f t="shared" si="4"/>
        <v>0</v>
      </c>
      <c r="L45" s="2">
        <f t="shared" si="5"/>
        <v>0.99999845013947608</v>
      </c>
      <c r="M45" s="2">
        <f t="shared" si="6"/>
        <v>1.5498617249545401E-6</v>
      </c>
      <c r="N45" s="2"/>
      <c r="O45" s="1"/>
    </row>
    <row r="46" spans="1:15" ht="13.9" x14ac:dyDescent="0.4">
      <c r="A46" s="2">
        <v>41</v>
      </c>
      <c r="B46" s="2">
        <v>175.3862</v>
      </c>
      <c r="C46" s="2">
        <v>21.978076999999999</v>
      </c>
      <c r="D46" s="2">
        <v>13.692077999999999</v>
      </c>
      <c r="E46" s="2">
        <v>58.794199999999996</v>
      </c>
      <c r="F46" s="2">
        <v>78.313400000000001</v>
      </c>
      <c r="G46" s="2">
        <v>0</v>
      </c>
      <c r="H46" s="2">
        <f t="shared" si="1"/>
        <v>-1.7739046240211138</v>
      </c>
      <c r="I46" s="2">
        <f t="shared" si="2"/>
        <v>0.14505742257115056</v>
      </c>
      <c r="J46" s="2">
        <f t="shared" si="3"/>
        <v>0</v>
      </c>
      <c r="K46" s="2">
        <f t="shared" si="4"/>
        <v>0</v>
      </c>
      <c r="L46" s="2">
        <f t="shared" si="5"/>
        <v>0.85494257742884949</v>
      </c>
      <c r="M46" s="2">
        <f t="shared" si="6"/>
        <v>0.15672097320270162</v>
      </c>
      <c r="N46" s="2"/>
      <c r="O46" s="1"/>
    </row>
    <row r="47" spans="1:15" ht="13.9" x14ac:dyDescent="0.4">
      <c r="A47" s="2">
        <v>42</v>
      </c>
      <c r="B47" s="2">
        <v>448.85840000000002</v>
      </c>
      <c r="C47" s="2">
        <v>16.29569</v>
      </c>
      <c r="D47" s="2">
        <v>12.220743000000001</v>
      </c>
      <c r="E47" s="2">
        <v>54.878599999999999</v>
      </c>
      <c r="F47" s="2">
        <v>181.03559999999999</v>
      </c>
      <c r="G47" s="2">
        <v>0</v>
      </c>
      <c r="H47" s="2">
        <f t="shared" si="1"/>
        <v>-7.4918295536603212</v>
      </c>
      <c r="I47" s="2">
        <f t="shared" si="2"/>
        <v>5.5731105878869234E-4</v>
      </c>
      <c r="J47" s="2">
        <f t="shared" si="3"/>
        <v>0</v>
      </c>
      <c r="K47" s="2">
        <f t="shared" si="4"/>
        <v>0</v>
      </c>
      <c r="L47" s="2">
        <f t="shared" si="5"/>
        <v>0.99944268894121135</v>
      </c>
      <c r="M47" s="2">
        <f t="shared" si="6"/>
        <v>5.5746641432035489E-4</v>
      </c>
      <c r="N47" s="2"/>
      <c r="O47" s="1"/>
    </row>
    <row r="48" spans="1:15" ht="13.9" x14ac:dyDescent="0.4">
      <c r="A48" s="2">
        <v>43</v>
      </c>
      <c r="B48" s="2">
        <v>58.769100000000002</v>
      </c>
      <c r="C48" s="2">
        <v>32.248958999999999</v>
      </c>
      <c r="D48" s="2">
        <v>7.0198979999999995</v>
      </c>
      <c r="E48" s="2">
        <v>39.796399999999998</v>
      </c>
      <c r="F48" s="2">
        <v>134.58539999999999</v>
      </c>
      <c r="G48" s="2">
        <v>1</v>
      </c>
      <c r="H48" s="2">
        <f t="shared" si="1"/>
        <v>1.1525586575510873</v>
      </c>
      <c r="I48" s="2">
        <f t="shared" si="2"/>
        <v>0.75997795583192018</v>
      </c>
      <c r="J48" s="2">
        <f t="shared" si="3"/>
        <v>1</v>
      </c>
      <c r="K48" s="2">
        <f t="shared" si="4"/>
        <v>0</v>
      </c>
      <c r="L48" s="2">
        <f t="shared" si="5"/>
        <v>0.75997795583192018</v>
      </c>
      <c r="M48" s="2">
        <f t="shared" si="6"/>
        <v>0.27446585160674303</v>
      </c>
      <c r="N48" s="2"/>
      <c r="O48" s="1"/>
    </row>
    <row r="49" spans="1:15" ht="13.9" x14ac:dyDescent="0.4">
      <c r="A49" s="2">
        <v>44</v>
      </c>
      <c r="B49" s="2">
        <v>102.05185</v>
      </c>
      <c r="C49" s="2">
        <v>21.846651999999999</v>
      </c>
      <c r="D49" s="2">
        <v>4.7408210000000004</v>
      </c>
      <c r="E49" s="2">
        <v>15.6587</v>
      </c>
      <c r="F49" s="2">
        <v>177.72569999999999</v>
      </c>
      <c r="G49" s="2">
        <v>1</v>
      </c>
      <c r="H49" s="2">
        <f t="shared" si="1"/>
        <v>0.67205055028095195</v>
      </c>
      <c r="I49" s="2">
        <f t="shared" si="2"/>
        <v>0.66196215954754067</v>
      </c>
      <c r="J49" s="2">
        <f t="shared" si="3"/>
        <v>1</v>
      </c>
      <c r="K49" s="2">
        <f t="shared" si="4"/>
        <v>0</v>
      </c>
      <c r="L49" s="2">
        <f t="shared" si="5"/>
        <v>0.66196215954754067</v>
      </c>
      <c r="M49" s="2">
        <f t="shared" si="6"/>
        <v>0.41254688548318907</v>
      </c>
      <c r="N49" s="2"/>
      <c r="O49" s="1"/>
    </row>
    <row r="50" spans="1:15" ht="13.9" x14ac:dyDescent="0.4">
      <c r="A50" s="2">
        <v>45</v>
      </c>
      <c r="B50" s="2">
        <v>919.11860000000001</v>
      </c>
      <c r="C50" s="2">
        <v>12.946122000000001</v>
      </c>
      <c r="D50" s="2">
        <v>5.4107759999999994</v>
      </c>
      <c r="E50" s="2">
        <v>9.1707999999999998</v>
      </c>
      <c r="F50" s="2">
        <v>98.875900000000001</v>
      </c>
      <c r="G50" s="2">
        <v>0</v>
      </c>
      <c r="H50" s="2">
        <f t="shared" si="1"/>
        <v>-15.557384116918882</v>
      </c>
      <c r="I50" s="2">
        <f t="shared" si="2"/>
        <v>1.7519182997211098E-7</v>
      </c>
      <c r="J50" s="2">
        <f t="shared" si="3"/>
        <v>0</v>
      </c>
      <c r="K50" s="2">
        <f t="shared" si="4"/>
        <v>0</v>
      </c>
      <c r="L50" s="2">
        <f t="shared" si="5"/>
        <v>0.99999982480817007</v>
      </c>
      <c r="M50" s="2">
        <f t="shared" si="6"/>
        <v>1.751918452780659E-7</v>
      </c>
      <c r="N50" s="2"/>
      <c r="O50" s="1"/>
    </row>
    <row r="51" spans="1:15" ht="13.9" x14ac:dyDescent="0.4">
      <c r="A51" s="2">
        <v>46</v>
      </c>
      <c r="B51" s="2">
        <v>157.173</v>
      </c>
      <c r="C51" s="2">
        <v>8.236286999999999</v>
      </c>
      <c r="D51" s="2">
        <v>1.4219409999999999</v>
      </c>
      <c r="E51" s="2">
        <v>48.101300000000002</v>
      </c>
      <c r="F51" s="2">
        <v>101.1097</v>
      </c>
      <c r="G51" s="2">
        <v>1</v>
      </c>
      <c r="H51" s="2">
        <f t="shared" si="1"/>
        <v>-7.4483779705381892E-2</v>
      </c>
      <c r="I51" s="2">
        <f t="shared" si="2"/>
        <v>0.48138765912537917</v>
      </c>
      <c r="J51" s="2">
        <f t="shared" si="3"/>
        <v>0</v>
      </c>
      <c r="K51" s="2">
        <f t="shared" si="4"/>
        <v>1</v>
      </c>
      <c r="L51" s="2">
        <f t="shared" si="5"/>
        <v>0.48138765912537917</v>
      </c>
      <c r="M51" s="2">
        <f t="shared" si="6"/>
        <v>0.73108238934734304</v>
      </c>
      <c r="N51" s="2"/>
      <c r="O51" s="1"/>
    </row>
    <row r="52" spans="1:15" ht="13.9" x14ac:dyDescent="0.4">
      <c r="A52" s="2">
        <v>47</v>
      </c>
      <c r="B52" s="2">
        <v>113.3558</v>
      </c>
      <c r="C52" s="2">
        <v>30.756010999999997</v>
      </c>
      <c r="D52" s="2">
        <v>13.094432999999999</v>
      </c>
      <c r="E52" s="2">
        <v>51.192999999999998</v>
      </c>
      <c r="F52" s="2">
        <v>140.1842</v>
      </c>
      <c r="G52" s="2">
        <v>0</v>
      </c>
      <c r="H52" s="2">
        <f t="shared" si="1"/>
        <v>-0.67862720275584376</v>
      </c>
      <c r="I52" s="2">
        <f t="shared" si="2"/>
        <v>0.33656776555557755</v>
      </c>
      <c r="J52" s="2">
        <f t="shared" si="3"/>
        <v>0</v>
      </c>
      <c r="K52" s="2">
        <f t="shared" si="4"/>
        <v>0</v>
      </c>
      <c r="L52" s="2">
        <f t="shared" si="5"/>
        <v>0.66343223444442245</v>
      </c>
      <c r="M52" s="2">
        <f t="shared" si="6"/>
        <v>0.41032856389318872</v>
      </c>
      <c r="N52" s="2"/>
      <c r="O52" s="1"/>
    </row>
    <row r="53" spans="1:15" ht="13.9" x14ac:dyDescent="0.4">
      <c r="A53" s="2">
        <v>48</v>
      </c>
      <c r="B53" s="2">
        <v>417.32279999999997</v>
      </c>
      <c r="C53" s="2">
        <v>18.725393999999998</v>
      </c>
      <c r="D53" s="2">
        <v>19.699802999999999</v>
      </c>
      <c r="E53" s="2">
        <v>200.78739999999999</v>
      </c>
      <c r="F53" s="2">
        <v>179.03540000000001</v>
      </c>
      <c r="G53" s="2">
        <v>0</v>
      </c>
      <c r="H53" s="2">
        <f t="shared" si="1"/>
        <v>-9.1551525282347015</v>
      </c>
      <c r="I53" s="2">
        <f t="shared" si="2"/>
        <v>1.0566274399061482E-4</v>
      </c>
      <c r="J53" s="2">
        <f t="shared" si="3"/>
        <v>0</v>
      </c>
      <c r="K53" s="2">
        <f t="shared" si="4"/>
        <v>0</v>
      </c>
      <c r="L53" s="2">
        <f t="shared" si="5"/>
        <v>0.9998943372560094</v>
      </c>
      <c r="M53" s="2">
        <f t="shared" si="6"/>
        <v>1.0566832669159067E-4</v>
      </c>
      <c r="N53" s="2"/>
      <c r="O53" s="1"/>
    </row>
    <row r="54" spans="1:15" ht="13.9" x14ac:dyDescent="0.4">
      <c r="A54" s="2">
        <v>49</v>
      </c>
      <c r="B54" s="2">
        <v>277.78359999999998</v>
      </c>
      <c r="C54" s="2">
        <v>10.678865</v>
      </c>
      <c r="D54" s="2">
        <v>27.549641000000001</v>
      </c>
      <c r="E54" s="2">
        <v>123.92140000000001</v>
      </c>
      <c r="F54" s="2">
        <v>259.12</v>
      </c>
      <c r="G54" s="2">
        <v>0</v>
      </c>
      <c r="H54" s="2">
        <f t="shared" si="1"/>
        <v>-6.4976514842818807</v>
      </c>
      <c r="I54" s="2">
        <f t="shared" si="2"/>
        <v>1.5047066388575222E-3</v>
      </c>
      <c r="J54" s="2">
        <f t="shared" si="3"/>
        <v>0</v>
      </c>
      <c r="K54" s="2">
        <f t="shared" si="4"/>
        <v>0</v>
      </c>
      <c r="L54" s="2">
        <f t="shared" si="5"/>
        <v>0.99849529336114251</v>
      </c>
      <c r="M54" s="2">
        <f t="shared" si="6"/>
        <v>1.5058398467983304E-3</v>
      </c>
      <c r="N54" s="2"/>
      <c r="O54" s="1"/>
    </row>
    <row r="55" spans="1:15" ht="13.9" x14ac:dyDescent="0.4">
      <c r="A55" s="2">
        <v>50</v>
      </c>
      <c r="B55" s="2">
        <v>95.724000000000004</v>
      </c>
      <c r="C55" s="2">
        <v>39.450245000000002</v>
      </c>
      <c r="D55" s="2">
        <v>8.0348319999999998</v>
      </c>
      <c r="E55" s="2">
        <v>138.7998</v>
      </c>
      <c r="F55" s="2">
        <v>163.7998</v>
      </c>
      <c r="G55" s="2">
        <v>0</v>
      </c>
      <c r="H55" s="2">
        <f t="shared" si="1"/>
        <v>-0.92782121817968566</v>
      </c>
      <c r="I55" s="2">
        <f t="shared" si="2"/>
        <v>0.28336695108844201</v>
      </c>
      <c r="J55" s="2">
        <f t="shared" si="3"/>
        <v>0</v>
      </c>
      <c r="K55" s="2">
        <f t="shared" si="4"/>
        <v>0</v>
      </c>
      <c r="L55" s="2">
        <f t="shared" si="5"/>
        <v>0.71663304891155799</v>
      </c>
      <c r="M55" s="2">
        <f t="shared" si="6"/>
        <v>0.33319135612427664</v>
      </c>
      <c r="N55" s="2"/>
      <c r="O55" s="1"/>
    </row>
    <row r="56" spans="1:15" ht="13.9" x14ac:dyDescent="0.4">
      <c r="A56" s="2">
        <v>51</v>
      </c>
      <c r="B56" s="2">
        <v>133.06120000000001</v>
      </c>
      <c r="C56" s="2">
        <v>31.008163</v>
      </c>
      <c r="D56" s="2">
        <v>16.583672999999997</v>
      </c>
      <c r="E56" s="2">
        <v>5.7141999999999999</v>
      </c>
      <c r="F56" s="2">
        <v>44.591799999999999</v>
      </c>
      <c r="G56" s="2">
        <v>0</v>
      </c>
      <c r="H56" s="2">
        <f t="shared" si="1"/>
        <v>-0.56856599770459937</v>
      </c>
      <c r="I56" s="2">
        <f t="shared" si="2"/>
        <v>0.36156777919588629</v>
      </c>
      <c r="J56" s="2">
        <f t="shared" si="3"/>
        <v>0</v>
      </c>
      <c r="K56" s="2">
        <f t="shared" si="4"/>
        <v>0</v>
      </c>
      <c r="L56" s="2">
        <f t="shared" si="5"/>
        <v>0.63843222080411377</v>
      </c>
      <c r="M56" s="2">
        <f t="shared" si="6"/>
        <v>0.44873976293577666</v>
      </c>
      <c r="N56" s="2"/>
      <c r="O56" s="1"/>
    </row>
    <row r="57" spans="1:15" ht="13.9" x14ac:dyDescent="0.4">
      <c r="A57" s="2">
        <v>52</v>
      </c>
      <c r="B57" s="2">
        <v>39.968600000000002</v>
      </c>
      <c r="C57" s="2">
        <v>20.952193999999999</v>
      </c>
      <c r="D57" s="2">
        <v>14.874608</v>
      </c>
      <c r="E57" s="2">
        <v>126.1756</v>
      </c>
      <c r="F57" s="2">
        <v>123.7461</v>
      </c>
      <c r="G57" s="2">
        <v>0</v>
      </c>
      <c r="H57" s="2">
        <f t="shared" si="1"/>
        <v>-2.4543577942353068E-2</v>
      </c>
      <c r="I57" s="2">
        <f t="shared" si="2"/>
        <v>0.4938644135112259</v>
      </c>
      <c r="J57" s="2">
        <f t="shared" si="3"/>
        <v>0</v>
      </c>
      <c r="K57" s="2">
        <f t="shared" si="4"/>
        <v>0</v>
      </c>
      <c r="L57" s="2">
        <f t="shared" si="5"/>
        <v>0.5061355864887741</v>
      </c>
      <c r="M57" s="2">
        <f t="shared" si="6"/>
        <v>0.68095068810117132</v>
      </c>
      <c r="N57" s="2"/>
      <c r="O57" s="1"/>
    </row>
    <row r="58" spans="1:15" ht="13.9" x14ac:dyDescent="0.4">
      <c r="A58" s="2">
        <v>53</v>
      </c>
      <c r="B58" s="2">
        <v>102.1739</v>
      </c>
      <c r="C58" s="2">
        <v>27.339130000000001</v>
      </c>
      <c r="D58" s="2">
        <v>3.93913</v>
      </c>
      <c r="E58" s="2">
        <v>38.260899999999999</v>
      </c>
      <c r="F58" s="2">
        <v>165.08699999999999</v>
      </c>
      <c r="G58" s="2">
        <v>1</v>
      </c>
      <c r="H58" s="2">
        <f t="shared" si="1"/>
        <v>0.50930412789898272</v>
      </c>
      <c r="I58" s="2">
        <f t="shared" si="2"/>
        <v>0.6246433316412966</v>
      </c>
      <c r="J58" s="2">
        <f t="shared" si="3"/>
        <v>1</v>
      </c>
      <c r="K58" s="2">
        <f t="shared" si="4"/>
        <v>0</v>
      </c>
      <c r="L58" s="2">
        <f t="shared" si="5"/>
        <v>0.6246433316412966</v>
      </c>
      <c r="M58" s="2">
        <f t="shared" si="6"/>
        <v>0.47057446151340343</v>
      </c>
      <c r="N58" s="2"/>
      <c r="O58" s="1"/>
    </row>
    <row r="59" spans="1:15" ht="13.9" x14ac:dyDescent="0.4">
      <c r="A59" s="2">
        <v>54</v>
      </c>
      <c r="B59" s="2">
        <v>16.966049999999999</v>
      </c>
      <c r="C59" s="2">
        <v>50.933134000000003</v>
      </c>
      <c r="D59" s="2">
        <v>29.780439000000001</v>
      </c>
      <c r="E59" s="2">
        <v>12.475</v>
      </c>
      <c r="F59" s="2">
        <v>41.914200000000001</v>
      </c>
      <c r="G59" s="2">
        <v>1</v>
      </c>
      <c r="H59" s="2">
        <f t="shared" si="1"/>
        <v>0.28800528526173164</v>
      </c>
      <c r="I59" s="2">
        <f t="shared" si="2"/>
        <v>0.57150772375806091</v>
      </c>
      <c r="J59" s="2">
        <f t="shared" si="3"/>
        <v>1</v>
      </c>
      <c r="K59" s="2">
        <f t="shared" si="4"/>
        <v>0</v>
      </c>
      <c r="L59" s="2">
        <f t="shared" si="5"/>
        <v>0.57150772375806091</v>
      </c>
      <c r="M59" s="2">
        <f t="shared" si="6"/>
        <v>0.5594772809513513</v>
      </c>
      <c r="N59" s="2"/>
      <c r="O59" s="1"/>
    </row>
    <row r="60" spans="1:15" ht="13.9" x14ac:dyDescent="0.4">
      <c r="A60" s="2">
        <v>55</v>
      </c>
      <c r="B60" s="2">
        <v>293.51799999999997</v>
      </c>
      <c r="C60" s="2">
        <v>43.684224</v>
      </c>
      <c r="D60" s="2">
        <v>7.0100840000000009</v>
      </c>
      <c r="E60" s="2">
        <v>48.919600000000003</v>
      </c>
      <c r="F60" s="2">
        <v>206.62729999999999</v>
      </c>
      <c r="G60" s="2">
        <v>0</v>
      </c>
      <c r="H60" s="2">
        <f t="shared" si="1"/>
        <v>-4.0796891372077129</v>
      </c>
      <c r="I60" s="2">
        <f t="shared" si="2"/>
        <v>1.6631439453585105E-2</v>
      </c>
      <c r="J60" s="2">
        <f t="shared" si="3"/>
        <v>0</v>
      </c>
      <c r="K60" s="2">
        <f t="shared" si="4"/>
        <v>0</v>
      </c>
      <c r="L60" s="2">
        <f t="shared" si="5"/>
        <v>0.98336856054641486</v>
      </c>
      <c r="M60" s="2">
        <f t="shared" si="6"/>
        <v>1.67712946735659E-2</v>
      </c>
      <c r="N60" s="2"/>
      <c r="O60" s="1"/>
    </row>
    <row r="61" spans="1:15" ht="13.9" x14ac:dyDescent="0.4">
      <c r="A61" s="2">
        <v>56</v>
      </c>
      <c r="B61" s="2">
        <v>133.33340000000001</v>
      </c>
      <c r="C61" s="2">
        <v>23.614379</v>
      </c>
      <c r="D61" s="2">
        <v>10.098039</v>
      </c>
      <c r="E61" s="2">
        <v>24.836600000000001</v>
      </c>
      <c r="F61" s="2">
        <v>92.9739</v>
      </c>
      <c r="G61" s="2">
        <v>0</v>
      </c>
      <c r="H61" s="2">
        <f t="shared" si="1"/>
        <v>-0.27444448532926558</v>
      </c>
      <c r="I61" s="2">
        <f t="shared" si="2"/>
        <v>0.43181630742707916</v>
      </c>
      <c r="J61" s="2">
        <f t="shared" si="3"/>
        <v>0</v>
      </c>
      <c r="K61" s="2">
        <f t="shared" si="4"/>
        <v>0</v>
      </c>
      <c r="L61" s="2">
        <f t="shared" si="5"/>
        <v>0.5681836925729209</v>
      </c>
      <c r="M61" s="2">
        <f t="shared" si="6"/>
        <v>0.56531051012716105</v>
      </c>
      <c r="N61" s="2"/>
      <c r="O61" s="1"/>
    </row>
    <row r="62" spans="1:15" ht="13.9" x14ac:dyDescent="0.4">
      <c r="A62" s="2">
        <v>57</v>
      </c>
      <c r="B62" s="2">
        <v>131.6343</v>
      </c>
      <c r="C62" s="2">
        <v>12.737845</v>
      </c>
      <c r="D62" s="2">
        <v>5.5919829999999999</v>
      </c>
      <c r="E62" s="2">
        <v>3.4641000000000002</v>
      </c>
      <c r="F62" s="2">
        <v>38.589300000000001</v>
      </c>
      <c r="G62" s="2">
        <v>1</v>
      </c>
      <c r="H62" s="2">
        <f t="shared" si="1"/>
        <v>0.7203712708115293</v>
      </c>
      <c r="I62" s="2">
        <f t="shared" si="2"/>
        <v>0.67268876819178325</v>
      </c>
      <c r="J62" s="2">
        <f t="shared" si="3"/>
        <v>1</v>
      </c>
      <c r="K62" s="2">
        <f t="shared" si="4"/>
        <v>0</v>
      </c>
      <c r="L62" s="2">
        <f t="shared" si="5"/>
        <v>0.67268876819178325</v>
      </c>
      <c r="M62" s="2">
        <f t="shared" si="6"/>
        <v>0.39647251069798939</v>
      </c>
      <c r="N62" s="2"/>
      <c r="O62" s="1"/>
    </row>
    <row r="63" spans="1:15" ht="13.9" x14ac:dyDescent="0.4">
      <c r="A63" s="2">
        <v>58</v>
      </c>
      <c r="B63" s="2">
        <v>30.389150000000001</v>
      </c>
      <c r="C63" s="2">
        <v>42.006177000000001</v>
      </c>
      <c r="D63" s="2">
        <v>11.147621999999998</v>
      </c>
      <c r="E63" s="2">
        <v>37.554000000000002</v>
      </c>
      <c r="F63" s="2">
        <v>141.80420000000001</v>
      </c>
      <c r="G63" s="2">
        <v>1</v>
      </c>
      <c r="H63" s="2">
        <f t="shared" si="1"/>
        <v>1.2474035733608346</v>
      </c>
      <c r="I63" s="2">
        <f t="shared" si="2"/>
        <v>0.77685008371234399</v>
      </c>
      <c r="J63" s="2">
        <f t="shared" si="3"/>
        <v>1</v>
      </c>
      <c r="K63" s="2">
        <f t="shared" si="4"/>
        <v>0</v>
      </c>
      <c r="L63" s="2">
        <f t="shared" si="5"/>
        <v>0.77685008371234399</v>
      </c>
      <c r="M63" s="2">
        <f t="shared" si="6"/>
        <v>0.25250788968543542</v>
      </c>
      <c r="N63" s="2"/>
      <c r="O63" s="1"/>
    </row>
    <row r="64" spans="1:15" ht="13.9" x14ac:dyDescent="0.4">
      <c r="A64" s="2">
        <v>59</v>
      </c>
      <c r="B64" s="2">
        <v>88.869799999999998</v>
      </c>
      <c r="C64" s="2">
        <v>19.162552000000002</v>
      </c>
      <c r="D64" s="2">
        <v>18.752382999999998</v>
      </c>
      <c r="E64" s="2">
        <v>8.5451999999999995</v>
      </c>
      <c r="F64" s="2">
        <v>113.0153</v>
      </c>
      <c r="G64" s="2">
        <v>0</v>
      </c>
      <c r="H64" s="2">
        <f t="shared" si="1"/>
        <v>-7.7608702735419755E-2</v>
      </c>
      <c r="I64" s="2">
        <f t="shared" si="2"/>
        <v>0.48060755690853441</v>
      </c>
      <c r="J64" s="2">
        <f t="shared" si="3"/>
        <v>0</v>
      </c>
      <c r="K64" s="2">
        <f t="shared" si="4"/>
        <v>0</v>
      </c>
      <c r="L64" s="2">
        <f t="shared" si="5"/>
        <v>0.51939244309146559</v>
      </c>
      <c r="M64" s="2">
        <f t="shared" si="6"/>
        <v>0.65509552916340197</v>
      </c>
      <c r="N64" s="2"/>
      <c r="O64" s="1"/>
    </row>
    <row r="65" spans="1:15" ht="13.9" x14ac:dyDescent="0.4">
      <c r="A65" s="2">
        <v>60</v>
      </c>
      <c r="B65" s="2">
        <v>59.764200000000002</v>
      </c>
      <c r="C65" s="2">
        <v>9.0393369999999997</v>
      </c>
      <c r="D65" s="2">
        <v>19.432707000000001</v>
      </c>
      <c r="E65" s="2">
        <v>42.955599999999997</v>
      </c>
      <c r="F65" s="2">
        <v>50.213000000000001</v>
      </c>
      <c r="G65" s="2">
        <v>0</v>
      </c>
      <c r="H65" s="2">
        <f t="shared" si="1"/>
        <v>0.39765806200016973</v>
      </c>
      <c r="I65" s="2">
        <f t="shared" si="2"/>
        <v>0.59812485452352371</v>
      </c>
      <c r="J65" s="2">
        <f t="shared" si="3"/>
        <v>1</v>
      </c>
      <c r="K65" s="2">
        <f t="shared" si="4"/>
        <v>1</v>
      </c>
      <c r="L65" s="2">
        <f t="shared" si="5"/>
        <v>0.40187514547647629</v>
      </c>
      <c r="M65" s="2">
        <f t="shared" si="6"/>
        <v>0.91161382199597651</v>
      </c>
      <c r="N65" s="2"/>
      <c r="O65" s="1"/>
    </row>
    <row r="66" spans="1:15" ht="13.9" x14ac:dyDescent="0.4">
      <c r="A66" s="2">
        <v>61</v>
      </c>
      <c r="B66" s="2">
        <v>34.296950000000002</v>
      </c>
      <c r="C66" s="2">
        <v>31.876763999999998</v>
      </c>
      <c r="D66" s="2">
        <v>12.722233000000001</v>
      </c>
      <c r="E66" s="2">
        <v>112.9211</v>
      </c>
      <c r="F66" s="2">
        <v>79.889099999999999</v>
      </c>
      <c r="G66" s="2">
        <v>1</v>
      </c>
      <c r="H66" s="2">
        <f t="shared" si="1"/>
        <v>0.52201753156697839</v>
      </c>
      <c r="I66" s="2">
        <f t="shared" si="2"/>
        <v>0.62761941152235345</v>
      </c>
      <c r="J66" s="2">
        <f t="shared" si="3"/>
        <v>1</v>
      </c>
      <c r="K66" s="2">
        <f t="shared" si="4"/>
        <v>0</v>
      </c>
      <c r="L66" s="2">
        <f t="shared" si="5"/>
        <v>0.62761941152235345</v>
      </c>
      <c r="M66" s="2">
        <f t="shared" si="6"/>
        <v>0.46582132883364402</v>
      </c>
      <c r="N66" s="2"/>
      <c r="O66" s="1"/>
    </row>
    <row r="67" spans="1:15" ht="13.9" x14ac:dyDescent="0.4">
      <c r="A67" s="2">
        <v>62</v>
      </c>
      <c r="B67" s="2">
        <v>75.825500000000005</v>
      </c>
      <c r="C67" s="2">
        <v>11.58989</v>
      </c>
      <c r="D67" s="2">
        <v>0.627803</v>
      </c>
      <c r="E67" s="2">
        <v>5.2995999999999999</v>
      </c>
      <c r="F67" s="2">
        <v>44.250700000000002</v>
      </c>
      <c r="G67" s="2">
        <v>1</v>
      </c>
      <c r="H67" s="2">
        <f t="shared" si="1"/>
        <v>2.3046844026599769</v>
      </c>
      <c r="I67" s="2">
        <f t="shared" si="2"/>
        <v>0.90926425682134726</v>
      </c>
      <c r="J67" s="2">
        <f t="shared" si="3"/>
        <v>1</v>
      </c>
      <c r="K67" s="2">
        <f t="shared" si="4"/>
        <v>0</v>
      </c>
      <c r="L67" s="2">
        <f t="shared" si="5"/>
        <v>0.90926425682134726</v>
      </c>
      <c r="M67" s="2">
        <f t="shared" si="6"/>
        <v>9.5119515478440705E-2</v>
      </c>
      <c r="N67" s="2"/>
      <c r="O67" s="1"/>
    </row>
    <row r="68" spans="1:15" ht="13.9" x14ac:dyDescent="0.4">
      <c r="A68" s="2">
        <v>63</v>
      </c>
      <c r="B68" s="2">
        <v>60.285200000000003</v>
      </c>
      <c r="C68" s="2">
        <v>15.595087000000001</v>
      </c>
      <c r="D68" s="2">
        <v>11.274884</v>
      </c>
      <c r="E68" s="2">
        <v>2.5413000000000001</v>
      </c>
      <c r="F68" s="2">
        <v>4.9297000000000004</v>
      </c>
      <c r="G68" s="2">
        <v>1</v>
      </c>
      <c r="H68" s="2">
        <f t="shared" si="1"/>
        <v>1.7334072882589213</v>
      </c>
      <c r="I68" s="2">
        <f t="shared" si="2"/>
        <v>0.84984773108834433</v>
      </c>
      <c r="J68" s="2">
        <f t="shared" si="3"/>
        <v>1</v>
      </c>
      <c r="K68" s="2">
        <f t="shared" si="4"/>
        <v>0</v>
      </c>
      <c r="L68" s="2">
        <f t="shared" si="5"/>
        <v>0.84984773108834433</v>
      </c>
      <c r="M68" s="2">
        <f t="shared" si="6"/>
        <v>0.16269808544130812</v>
      </c>
      <c r="N68" s="2"/>
      <c r="O68" s="1"/>
    </row>
    <row r="69" spans="1:15" ht="13.9" x14ac:dyDescent="0.4">
      <c r="A69" s="2">
        <v>64</v>
      </c>
      <c r="B69" s="2">
        <v>52.327399999999997</v>
      </c>
      <c r="C69" s="2">
        <v>17.149459999999998</v>
      </c>
      <c r="D69" s="2">
        <v>7.4723649999999999</v>
      </c>
      <c r="E69" s="2">
        <v>26.512599999999999</v>
      </c>
      <c r="F69" s="2">
        <v>175.00550000000001</v>
      </c>
      <c r="G69" s="2">
        <v>0</v>
      </c>
      <c r="H69" s="2">
        <f t="shared" si="1"/>
        <v>1.348352087467183</v>
      </c>
      <c r="I69" s="2">
        <f t="shared" si="2"/>
        <v>0.79386008408038533</v>
      </c>
      <c r="J69" s="2">
        <f t="shared" si="3"/>
        <v>1</v>
      </c>
      <c r="K69" s="2">
        <f t="shared" si="4"/>
        <v>1</v>
      </c>
      <c r="L69" s="2">
        <f t="shared" si="5"/>
        <v>0.20613991591961467</v>
      </c>
      <c r="M69" s="2">
        <f t="shared" si="6"/>
        <v>1.579200137253584</v>
      </c>
      <c r="N69" s="2"/>
      <c r="O69" s="1"/>
    </row>
    <row r="70" spans="1:15" ht="13.9" x14ac:dyDescent="0.4">
      <c r="A70" s="2">
        <v>65</v>
      </c>
      <c r="B70" s="2">
        <v>112.3224</v>
      </c>
      <c r="C70" s="2">
        <v>20.515362</v>
      </c>
      <c r="D70" s="2">
        <v>19.081599000000001</v>
      </c>
      <c r="E70" s="2">
        <v>133.46539999999999</v>
      </c>
      <c r="F70" s="2">
        <v>41.187600000000003</v>
      </c>
      <c r="G70" s="2">
        <v>0</v>
      </c>
      <c r="H70" s="2">
        <f t="shared" si="1"/>
        <v>-1.6645281899126783</v>
      </c>
      <c r="I70" s="2">
        <f t="shared" si="2"/>
        <v>0.15915507742264234</v>
      </c>
      <c r="J70" s="2">
        <f t="shared" si="3"/>
        <v>0</v>
      </c>
      <c r="K70" s="2">
        <f t="shared" si="4"/>
        <v>0</v>
      </c>
      <c r="L70" s="2">
        <f t="shared" si="5"/>
        <v>0.84084492257735766</v>
      </c>
      <c r="M70" s="2">
        <f t="shared" si="6"/>
        <v>0.17334803247204761</v>
      </c>
      <c r="N70" s="2"/>
      <c r="O70" s="1"/>
    </row>
    <row r="71" spans="1:15" ht="13.9" x14ac:dyDescent="0.4">
      <c r="A71" s="2">
        <v>66</v>
      </c>
      <c r="B71" s="2">
        <v>1112.9494</v>
      </c>
      <c r="C71" s="2">
        <v>10.174992</v>
      </c>
      <c r="D71" s="2">
        <v>10.034998</v>
      </c>
      <c r="E71" s="2">
        <v>5.7270000000000003</v>
      </c>
      <c r="F71" s="2">
        <v>85.451799999999992</v>
      </c>
      <c r="G71" s="2">
        <v>0</v>
      </c>
      <c r="H71" s="2">
        <f t="shared" ref="H71:H92" si="7">SUMPRODUCT($B$4:$F$4, B71:F71) + $G$4</f>
        <v>-19.83565210147076</v>
      </c>
      <c r="I71" s="2">
        <f t="shared" ref="I71:I92" si="8">1/(1+EXP(0-H71))</f>
        <v>2.429325709506428E-9</v>
      </c>
      <c r="J71" s="2">
        <f t="shared" ref="J71:J92" si="9">IF(I71&lt;=0.5,0,1)</f>
        <v>0</v>
      </c>
      <c r="K71" s="2">
        <f t="shared" ref="K71:K92" si="10">IF(G71=J71,0,1)</f>
        <v>0</v>
      </c>
      <c r="L71" s="2">
        <f t="shared" ref="L71:L92" si="11">IF(G71=1,I71,1-I71)</f>
        <v>0.99999999757067426</v>
      </c>
      <c r="M71" s="2">
        <f t="shared" ref="M71:M92" si="12">IF(L71=0, 1000000, -LN(L71))</f>
        <v>2.4293257435224535E-9</v>
      </c>
      <c r="N71" s="2"/>
      <c r="O71" s="1"/>
    </row>
    <row r="72" spans="1:15" ht="13.9" x14ac:dyDescent="0.4">
      <c r="A72" s="2">
        <v>67</v>
      </c>
      <c r="B72" s="2">
        <v>20.931899999999999</v>
      </c>
      <c r="C72" s="2">
        <v>27.724731000000002</v>
      </c>
      <c r="D72" s="2">
        <v>9.8437280000000005</v>
      </c>
      <c r="E72" s="2">
        <v>15.7706</v>
      </c>
      <c r="F72" s="2">
        <v>20.218599999999999</v>
      </c>
      <c r="G72" s="2">
        <v>1</v>
      </c>
      <c r="H72" s="2">
        <f t="shared" si="7"/>
        <v>2.3757270124117142</v>
      </c>
      <c r="I72" s="2">
        <f t="shared" si="8"/>
        <v>0.91495754107092497</v>
      </c>
      <c r="J72" s="2">
        <f t="shared" si="9"/>
        <v>1</v>
      </c>
      <c r="K72" s="2">
        <f t="shared" si="10"/>
        <v>0</v>
      </c>
      <c r="L72" s="2">
        <f t="shared" si="11"/>
        <v>0.91495754107092497</v>
      </c>
      <c r="M72" s="2">
        <f t="shared" si="12"/>
        <v>8.887761798445247E-2</v>
      </c>
      <c r="N72" s="2"/>
      <c r="O72" s="1"/>
    </row>
    <row r="73" spans="1:15" ht="13.9" x14ac:dyDescent="0.4">
      <c r="A73" s="2">
        <v>68</v>
      </c>
      <c r="B73" s="2">
        <v>2795.6318000000001</v>
      </c>
      <c r="C73" s="2">
        <v>10.682173000000001</v>
      </c>
      <c r="D73" s="2">
        <v>4.2433699999999996</v>
      </c>
      <c r="E73" s="2">
        <v>10.211399999999999</v>
      </c>
      <c r="F73" s="2">
        <v>36.3459</v>
      </c>
      <c r="G73" s="2">
        <v>0</v>
      </c>
      <c r="H73" s="2">
        <f t="shared" si="7"/>
        <v>-53.333965316773693</v>
      </c>
      <c r="I73" s="2">
        <f t="shared" si="8"/>
        <v>6.8762738597753664E-24</v>
      </c>
      <c r="J73" s="2">
        <f t="shared" si="9"/>
        <v>0</v>
      </c>
      <c r="K73" s="2">
        <f t="shared" si="10"/>
        <v>0</v>
      </c>
      <c r="L73" s="2">
        <f t="shared" si="11"/>
        <v>1</v>
      </c>
      <c r="M73" s="2">
        <f t="shared" si="12"/>
        <v>0</v>
      </c>
      <c r="N73" s="2"/>
      <c r="O73" s="1"/>
    </row>
    <row r="74" spans="1:15" ht="13.9" x14ac:dyDescent="0.4">
      <c r="A74" s="2">
        <v>69</v>
      </c>
      <c r="B74" s="2">
        <v>124.73779999999999</v>
      </c>
      <c r="C74" s="2">
        <v>23.328166</v>
      </c>
      <c r="D74" s="2">
        <v>13.236072</v>
      </c>
      <c r="E74" s="2">
        <v>40.849800000000002</v>
      </c>
      <c r="F74" s="2">
        <v>80.803799999999995</v>
      </c>
      <c r="G74" s="2">
        <v>0</v>
      </c>
      <c r="H74" s="2">
        <f t="shared" si="7"/>
        <v>-0.52793779152517839</v>
      </c>
      <c r="I74" s="2">
        <f t="shared" si="8"/>
        <v>0.37099799371405062</v>
      </c>
      <c r="J74" s="2">
        <f t="shared" si="9"/>
        <v>0</v>
      </c>
      <c r="K74" s="2">
        <f t="shared" si="10"/>
        <v>0</v>
      </c>
      <c r="L74" s="2">
        <f t="shared" si="11"/>
        <v>0.62900200628594938</v>
      </c>
      <c r="M74" s="2">
        <f t="shared" si="12"/>
        <v>0.46362083264298476</v>
      </c>
      <c r="N74" s="2"/>
      <c r="O74" s="1"/>
    </row>
    <row r="75" spans="1:15" ht="13.9" x14ac:dyDescent="0.4">
      <c r="A75" s="2">
        <v>70</v>
      </c>
      <c r="B75" s="2">
        <v>461.43079999999998</v>
      </c>
      <c r="C75" s="2">
        <v>20.47879</v>
      </c>
      <c r="D75" s="2">
        <v>9.0662190000000002</v>
      </c>
      <c r="E75" s="2">
        <v>15.679600000000001</v>
      </c>
      <c r="F75" s="2">
        <v>88.838700000000003</v>
      </c>
      <c r="G75" s="2">
        <v>0</v>
      </c>
      <c r="H75" s="2">
        <f t="shared" si="7"/>
        <v>-6.7029016734263616</v>
      </c>
      <c r="I75" s="2">
        <f t="shared" si="8"/>
        <v>1.2258408451744905E-3</v>
      </c>
      <c r="J75" s="2">
        <f t="shared" si="9"/>
        <v>0</v>
      </c>
      <c r="K75" s="2">
        <f t="shared" si="10"/>
        <v>0</v>
      </c>
      <c r="L75" s="2">
        <f t="shared" si="11"/>
        <v>0.99877415915482548</v>
      </c>
      <c r="M75" s="2">
        <f t="shared" si="12"/>
        <v>1.2265928026463069E-3</v>
      </c>
      <c r="N75" s="2"/>
      <c r="O75" s="1"/>
    </row>
    <row r="76" spans="1:15" ht="13.9" x14ac:dyDescent="0.4">
      <c r="A76" s="2">
        <v>71</v>
      </c>
      <c r="B76" s="2">
        <v>120.726</v>
      </c>
      <c r="C76" s="2">
        <v>23.97214</v>
      </c>
      <c r="D76" s="2">
        <v>10.747150999999999</v>
      </c>
      <c r="E76" s="2">
        <v>12.663600000000001</v>
      </c>
      <c r="F76" s="2">
        <v>61.724400000000003</v>
      </c>
      <c r="G76" s="2">
        <v>0</v>
      </c>
      <c r="H76" s="2">
        <f t="shared" si="7"/>
        <v>0.16530335121946571</v>
      </c>
      <c r="I76" s="2">
        <f t="shared" si="8"/>
        <v>0.54123199117617993</v>
      </c>
      <c r="J76" s="2">
        <f t="shared" si="9"/>
        <v>1</v>
      </c>
      <c r="K76" s="2">
        <f t="shared" si="10"/>
        <v>1</v>
      </c>
      <c r="L76" s="2">
        <f t="shared" si="11"/>
        <v>0.45876800882382007</v>
      </c>
      <c r="M76" s="2">
        <f t="shared" si="12"/>
        <v>0.77921062409215924</v>
      </c>
      <c r="N76" s="2"/>
      <c r="O76" s="1"/>
    </row>
    <row r="77" spans="1:15" ht="13.9" x14ac:dyDescent="0.4">
      <c r="A77" s="2">
        <v>72</v>
      </c>
      <c r="B77" s="2">
        <v>18.136849999999999</v>
      </c>
      <c r="C77" s="2">
        <v>42.192910000000005</v>
      </c>
      <c r="D77" s="2">
        <v>10.350371000000001</v>
      </c>
      <c r="E77" s="2">
        <v>3.7098</v>
      </c>
      <c r="F77" s="2">
        <v>46.815300000000001</v>
      </c>
      <c r="G77" s="2">
        <v>1</v>
      </c>
      <c r="H77" s="2">
        <f t="shared" si="7"/>
        <v>2.2967028540773744</v>
      </c>
      <c r="I77" s="2">
        <f t="shared" si="8"/>
        <v>0.90860360240793714</v>
      </c>
      <c r="J77" s="2">
        <f t="shared" si="9"/>
        <v>1</v>
      </c>
      <c r="K77" s="2">
        <f t="shared" si="10"/>
        <v>0</v>
      </c>
      <c r="L77" s="2">
        <f t="shared" si="11"/>
        <v>0.90860360240793714</v>
      </c>
      <c r="M77" s="2">
        <f t="shared" si="12"/>
        <v>9.5846360874976583E-2</v>
      </c>
      <c r="N77" s="2"/>
      <c r="O77" s="1"/>
    </row>
    <row r="78" spans="1:15" ht="13.9" x14ac:dyDescent="0.4">
      <c r="A78" s="2">
        <v>73</v>
      </c>
      <c r="B78" s="2">
        <v>44.603200000000001</v>
      </c>
      <c r="C78" s="2">
        <v>24.625837999999998</v>
      </c>
      <c r="D78" s="2">
        <v>22.360833</v>
      </c>
      <c r="E78" s="2">
        <v>2.0908000000000002</v>
      </c>
      <c r="F78" s="2">
        <v>29.316199999999998</v>
      </c>
      <c r="G78" s="2">
        <v>1</v>
      </c>
      <c r="H78" s="2">
        <f t="shared" si="7"/>
        <v>0.81548820636364638</v>
      </c>
      <c r="I78" s="2">
        <f t="shared" si="8"/>
        <v>0.69327777312935168</v>
      </c>
      <c r="J78" s="2">
        <f t="shared" si="9"/>
        <v>1</v>
      </c>
      <c r="K78" s="2">
        <f t="shared" si="10"/>
        <v>0</v>
      </c>
      <c r="L78" s="2">
        <f t="shared" si="11"/>
        <v>0.69327777312935168</v>
      </c>
      <c r="M78" s="2">
        <f t="shared" si="12"/>
        <v>0.36632453307544544</v>
      </c>
      <c r="N78" s="2"/>
      <c r="O78" s="1"/>
    </row>
    <row r="79" spans="1:15" ht="13.9" x14ac:dyDescent="0.4">
      <c r="A79" s="2">
        <v>74</v>
      </c>
      <c r="B79" s="2">
        <v>78.210999999999999</v>
      </c>
      <c r="C79" s="2">
        <v>10.045872000000001</v>
      </c>
      <c r="D79" s="2">
        <v>23.183485999999998</v>
      </c>
      <c r="E79" s="2">
        <v>5.5045999999999999</v>
      </c>
      <c r="F79" s="2">
        <v>51.752299999999998</v>
      </c>
      <c r="G79" s="2">
        <v>1</v>
      </c>
      <c r="H79" s="2">
        <f t="shared" si="7"/>
        <v>4.6474504196699407E-2</v>
      </c>
      <c r="I79" s="2">
        <f t="shared" si="8"/>
        <v>0.51161653526470041</v>
      </c>
      <c r="J79" s="2">
        <f t="shared" si="9"/>
        <v>1</v>
      </c>
      <c r="K79" s="2">
        <f t="shared" si="10"/>
        <v>0</v>
      </c>
      <c r="L79" s="2">
        <f t="shared" si="11"/>
        <v>0.51161653526470041</v>
      </c>
      <c r="M79" s="2">
        <f t="shared" si="12"/>
        <v>0.6701798891103451</v>
      </c>
      <c r="N79" s="2"/>
      <c r="O79" s="1"/>
    </row>
    <row r="80" spans="1:15" ht="13.9" x14ac:dyDescent="0.4">
      <c r="A80" s="2">
        <v>75</v>
      </c>
      <c r="B80" s="2">
        <v>422.89620000000002</v>
      </c>
      <c r="C80" s="2">
        <v>31.747116999999999</v>
      </c>
      <c r="D80" s="2">
        <v>11.610423000000001</v>
      </c>
      <c r="E80" s="2">
        <v>76.035799999999995</v>
      </c>
      <c r="F80" s="2">
        <v>233.4579</v>
      </c>
      <c r="G80" s="2">
        <v>0</v>
      </c>
      <c r="H80" s="2">
        <f t="shared" si="7"/>
        <v>-7.4540280212767209</v>
      </c>
      <c r="I80" s="2">
        <f t="shared" si="8"/>
        <v>5.7876909596273442E-4</v>
      </c>
      <c r="J80" s="2">
        <f t="shared" si="9"/>
        <v>0</v>
      </c>
      <c r="K80" s="2">
        <f t="shared" si="10"/>
        <v>0</v>
      </c>
      <c r="L80" s="2">
        <f t="shared" si="11"/>
        <v>0.99942123090403723</v>
      </c>
      <c r="M80" s="2">
        <f t="shared" si="12"/>
        <v>5.789366474481932E-4</v>
      </c>
      <c r="N80" s="2"/>
      <c r="O80" s="1"/>
    </row>
    <row r="81" spans="1:15" ht="13.9" x14ac:dyDescent="0.4">
      <c r="A81" s="2">
        <v>76</v>
      </c>
      <c r="B81" s="2">
        <v>189.78100000000001</v>
      </c>
      <c r="C81" s="2">
        <v>35.808132999999998</v>
      </c>
      <c r="D81" s="2">
        <v>12.294056000000001</v>
      </c>
      <c r="E81" s="2">
        <v>135.55779999999999</v>
      </c>
      <c r="F81" s="2">
        <v>170.464</v>
      </c>
      <c r="G81" s="2">
        <v>0</v>
      </c>
      <c r="H81" s="2">
        <f t="shared" si="7"/>
        <v>-3.2146417867322636</v>
      </c>
      <c r="I81" s="2">
        <f t="shared" si="8"/>
        <v>3.8618429068890646E-2</v>
      </c>
      <c r="J81" s="2">
        <f t="shared" si="9"/>
        <v>0</v>
      </c>
      <c r="K81" s="2">
        <f t="shared" si="10"/>
        <v>0</v>
      </c>
      <c r="L81" s="2">
        <f t="shared" si="11"/>
        <v>0.96138157093110932</v>
      </c>
      <c r="M81" s="2">
        <f t="shared" si="12"/>
        <v>3.9383892697985361E-2</v>
      </c>
      <c r="N81" s="2"/>
      <c r="O81" s="1"/>
    </row>
    <row r="82" spans="1:15" ht="13.9" x14ac:dyDescent="0.4">
      <c r="A82" s="2">
        <v>77</v>
      </c>
      <c r="B82" s="2">
        <v>267.40940000000001</v>
      </c>
      <c r="C82" s="2">
        <v>43.604457000000004</v>
      </c>
      <c r="D82" s="2">
        <v>6.1782730000000008</v>
      </c>
      <c r="E82" s="2">
        <v>135.9332</v>
      </c>
      <c r="F82" s="2">
        <v>206.05850000000001</v>
      </c>
      <c r="G82" s="2">
        <v>0</v>
      </c>
      <c r="H82" s="2">
        <f t="shared" si="7"/>
        <v>-4.399340498661096</v>
      </c>
      <c r="I82" s="2">
        <f t="shared" si="8"/>
        <v>1.2136339234361877E-2</v>
      </c>
      <c r="J82" s="2">
        <f t="shared" si="9"/>
        <v>0</v>
      </c>
      <c r="K82" s="2">
        <f t="shared" si="10"/>
        <v>0</v>
      </c>
      <c r="L82" s="2">
        <f t="shared" si="11"/>
        <v>0.98786366076563814</v>
      </c>
      <c r="M82" s="2">
        <f t="shared" si="12"/>
        <v>1.2210585932959241E-2</v>
      </c>
      <c r="N82" s="2"/>
      <c r="O82" s="1"/>
    </row>
    <row r="83" spans="1:15" ht="13.9" x14ac:dyDescent="0.4">
      <c r="A83" s="2">
        <v>78</v>
      </c>
      <c r="B83" s="2">
        <v>660.63639999999998</v>
      </c>
      <c r="C83" s="2">
        <v>38.904634999999999</v>
      </c>
      <c r="D83" s="2">
        <v>12.255158</v>
      </c>
      <c r="E83" s="2">
        <v>52.7104</v>
      </c>
      <c r="F83" s="2">
        <v>220.9068</v>
      </c>
      <c r="G83" s="2">
        <v>0</v>
      </c>
      <c r="H83" s="2">
        <f t="shared" si="7"/>
        <v>-12.106834877273627</v>
      </c>
      <c r="I83" s="2">
        <f t="shared" si="8"/>
        <v>5.5216137250585972E-6</v>
      </c>
      <c r="J83" s="2">
        <f t="shared" si="9"/>
        <v>0</v>
      </c>
      <c r="K83" s="2">
        <f t="shared" si="10"/>
        <v>0</v>
      </c>
      <c r="L83" s="2">
        <f t="shared" si="11"/>
        <v>0.99999447838627498</v>
      </c>
      <c r="M83" s="2">
        <f t="shared" si="12"/>
        <v>5.5216289691887564E-6</v>
      </c>
      <c r="N83" s="2"/>
      <c r="O83" s="1"/>
    </row>
    <row r="84" spans="1:15" ht="13.9" x14ac:dyDescent="0.4">
      <c r="A84" s="2">
        <v>79</v>
      </c>
      <c r="B84" s="2">
        <v>238.983</v>
      </c>
      <c r="C84" s="2">
        <v>31.110168999999999</v>
      </c>
      <c r="D84" s="2">
        <v>34.546610000000001</v>
      </c>
      <c r="E84" s="2">
        <v>83.898399999999995</v>
      </c>
      <c r="F84" s="2">
        <v>154.661</v>
      </c>
      <c r="G84" s="2">
        <v>0</v>
      </c>
      <c r="H84" s="2">
        <f t="shared" si="7"/>
        <v>-5.724544565233086</v>
      </c>
      <c r="I84" s="2">
        <f t="shared" si="8"/>
        <v>3.2542153669699665E-3</v>
      </c>
      <c r="J84" s="2">
        <f t="shared" si="9"/>
        <v>0</v>
      </c>
      <c r="K84" s="2">
        <f t="shared" si="10"/>
        <v>0</v>
      </c>
      <c r="L84" s="2">
        <f t="shared" si="11"/>
        <v>0.99674578463302999</v>
      </c>
      <c r="M84" s="2">
        <f t="shared" si="12"/>
        <v>3.2595218411980258E-3</v>
      </c>
      <c r="N84" s="2"/>
      <c r="O84" s="1"/>
    </row>
    <row r="85" spans="1:15" ht="13.9" x14ac:dyDescent="0.4">
      <c r="A85" s="2">
        <v>80</v>
      </c>
      <c r="B85" s="2">
        <v>66.736199999999997</v>
      </c>
      <c r="C85" s="2">
        <v>69.739311999999998</v>
      </c>
      <c r="D85" s="2">
        <v>16.05376</v>
      </c>
      <c r="E85" s="2">
        <v>21.3186</v>
      </c>
      <c r="F85" s="2">
        <v>106.10299999999999</v>
      </c>
      <c r="G85" s="2">
        <v>0</v>
      </c>
      <c r="H85" s="2">
        <f t="shared" si="7"/>
        <v>0.12179208729605318</v>
      </c>
      <c r="I85" s="2">
        <f t="shared" si="8"/>
        <v>0.53041044048330854</v>
      </c>
      <c r="J85" s="2">
        <f t="shared" si="9"/>
        <v>1</v>
      </c>
      <c r="K85" s="2">
        <f t="shared" si="10"/>
        <v>1</v>
      </c>
      <c r="L85" s="2">
        <f t="shared" si="11"/>
        <v>0.46958955951669146</v>
      </c>
      <c r="M85" s="2">
        <f t="shared" si="12"/>
        <v>0.7558962434311346</v>
      </c>
      <c r="N85" s="2"/>
      <c r="O85" s="1"/>
    </row>
    <row r="86" spans="1:15" ht="13.9" x14ac:dyDescent="0.4">
      <c r="A86" s="2">
        <v>81</v>
      </c>
      <c r="B86" s="2">
        <v>57.906399999999998</v>
      </c>
      <c r="C86" s="2">
        <v>63.747216000000002</v>
      </c>
      <c r="D86" s="2">
        <v>17.934297999999998</v>
      </c>
      <c r="E86" s="2">
        <v>26.725999999999999</v>
      </c>
      <c r="F86" s="2">
        <v>60.634700000000002</v>
      </c>
      <c r="G86" s="2">
        <v>0</v>
      </c>
      <c r="H86" s="2">
        <f t="shared" si="7"/>
        <v>0.28096104770307306</v>
      </c>
      <c r="I86" s="2">
        <f t="shared" si="8"/>
        <v>0.56978182182257653</v>
      </c>
      <c r="J86" s="2">
        <f t="shared" si="9"/>
        <v>1</v>
      </c>
      <c r="K86" s="2">
        <f t="shared" si="10"/>
        <v>1</v>
      </c>
      <c r="L86" s="2">
        <f t="shared" si="11"/>
        <v>0.43021817817742347</v>
      </c>
      <c r="M86" s="2">
        <f t="shared" si="12"/>
        <v>0.84346280786358585</v>
      </c>
      <c r="N86" s="2"/>
      <c r="O86" s="1"/>
    </row>
    <row r="87" spans="1:15" ht="13.9" x14ac:dyDescent="0.4">
      <c r="A87" s="2">
        <v>82</v>
      </c>
      <c r="B87" s="2">
        <v>220.82634999999999</v>
      </c>
      <c r="C87" s="2">
        <v>17.761026999999999</v>
      </c>
      <c r="D87" s="2">
        <v>3.0764940000000003</v>
      </c>
      <c r="E87" s="2">
        <v>217.75540000000001</v>
      </c>
      <c r="F87" s="2">
        <v>235.73929999999999</v>
      </c>
      <c r="G87" s="2">
        <v>1</v>
      </c>
      <c r="H87" s="2">
        <f t="shared" si="7"/>
        <v>-3.9370119369111771</v>
      </c>
      <c r="I87" s="2">
        <f t="shared" si="8"/>
        <v>1.9133194137654283E-2</v>
      </c>
      <c r="J87" s="2">
        <f t="shared" si="9"/>
        <v>0</v>
      </c>
      <c r="K87" s="2">
        <f t="shared" si="10"/>
        <v>1</v>
      </c>
      <c r="L87" s="2">
        <f t="shared" si="11"/>
        <v>1.9133194137654283E-2</v>
      </c>
      <c r="M87" s="2">
        <f t="shared" si="12"/>
        <v>3.9563305393866797</v>
      </c>
      <c r="N87" s="2"/>
      <c r="O87" s="1"/>
    </row>
    <row r="88" spans="1:15" ht="13.9" x14ac:dyDescent="0.4">
      <c r="A88" s="2">
        <v>83</v>
      </c>
      <c r="B88" s="2">
        <v>37.339750000000002</v>
      </c>
      <c r="C88" s="2">
        <v>40.123891999999998</v>
      </c>
      <c r="D88" s="2">
        <v>30.374258000000001</v>
      </c>
      <c r="E88" s="2">
        <v>20.648700000000002</v>
      </c>
      <c r="F88" s="2">
        <v>167.63120000000001</v>
      </c>
      <c r="G88" s="2">
        <v>1</v>
      </c>
      <c r="H88" s="2">
        <f t="shared" si="7"/>
        <v>-0.66351402152784722</v>
      </c>
      <c r="I88" s="2">
        <f t="shared" si="8"/>
        <v>0.33995067769081244</v>
      </c>
      <c r="J88" s="2">
        <f t="shared" si="9"/>
        <v>0</v>
      </c>
      <c r="K88" s="2">
        <f t="shared" si="10"/>
        <v>1</v>
      </c>
      <c r="L88" s="2">
        <f t="shared" si="11"/>
        <v>0.33995067769081244</v>
      </c>
      <c r="M88" s="2">
        <f t="shared" si="12"/>
        <v>1.0789547375102215</v>
      </c>
      <c r="N88" s="2"/>
      <c r="O88" s="1"/>
    </row>
    <row r="89" spans="1:15" ht="13.9" x14ac:dyDescent="0.4">
      <c r="A89" s="2">
        <v>84</v>
      </c>
      <c r="B89" s="2">
        <v>14.473699999999999</v>
      </c>
      <c r="C89" s="2">
        <v>140.934211</v>
      </c>
      <c r="D89" s="2">
        <v>9.3421050000000001</v>
      </c>
      <c r="E89" s="2">
        <v>3.0701999999999998</v>
      </c>
      <c r="F89" s="2">
        <v>37.596499999999999</v>
      </c>
      <c r="G89" s="2">
        <v>1</v>
      </c>
      <c r="H89" s="2">
        <f t="shared" si="7"/>
        <v>1.7266465958786577</v>
      </c>
      <c r="I89" s="2">
        <f t="shared" si="8"/>
        <v>0.8489829803304425</v>
      </c>
      <c r="J89" s="2">
        <f t="shared" si="9"/>
        <v>1</v>
      </c>
      <c r="K89" s="2">
        <f t="shared" si="10"/>
        <v>0</v>
      </c>
      <c r="L89" s="2">
        <f t="shared" si="11"/>
        <v>0.8489829803304425</v>
      </c>
      <c r="M89" s="2">
        <f t="shared" si="12"/>
        <v>0.16371613959676629</v>
      </c>
      <c r="N89" s="2"/>
      <c r="O89" s="1"/>
    </row>
    <row r="90" spans="1:15" ht="13.9" x14ac:dyDescent="0.4">
      <c r="A90" s="2">
        <v>85</v>
      </c>
      <c r="B90" s="2">
        <v>1269.2434000000001</v>
      </c>
      <c r="C90" s="2">
        <v>18.659200999999999</v>
      </c>
      <c r="D90" s="2">
        <v>10.154643</v>
      </c>
      <c r="E90" s="2">
        <v>107.2208</v>
      </c>
      <c r="F90" s="2">
        <v>246.0558</v>
      </c>
      <c r="G90" s="2">
        <v>0</v>
      </c>
      <c r="H90" s="2">
        <f t="shared" si="7"/>
        <v>-24.790688755032388</v>
      </c>
      <c r="I90" s="2">
        <f t="shared" si="8"/>
        <v>1.712145509346582E-11</v>
      </c>
      <c r="J90" s="2">
        <f t="shared" si="9"/>
        <v>0</v>
      </c>
      <c r="K90" s="2">
        <f t="shared" si="10"/>
        <v>0</v>
      </c>
      <c r="L90" s="2">
        <f t="shared" si="11"/>
        <v>0.99999999998287858</v>
      </c>
      <c r="M90" s="2">
        <f t="shared" si="12"/>
        <v>1.7121415396705887E-11</v>
      </c>
      <c r="N90" s="2"/>
      <c r="O90" s="1"/>
    </row>
    <row r="91" spans="1:15" ht="13.9" x14ac:dyDescent="0.4">
      <c r="A91" s="2">
        <v>86</v>
      </c>
      <c r="B91" s="2">
        <v>192.02699999999999</v>
      </c>
      <c r="C91" s="2">
        <v>30.881527000000002</v>
      </c>
      <c r="D91" s="2">
        <v>24.188658</v>
      </c>
      <c r="E91" s="2">
        <v>59.517200000000003</v>
      </c>
      <c r="F91" s="2">
        <v>100.23860000000001</v>
      </c>
      <c r="G91" s="2">
        <v>0</v>
      </c>
      <c r="H91" s="2">
        <f t="shared" si="7"/>
        <v>-3.2936568689966332</v>
      </c>
      <c r="I91" s="2">
        <f t="shared" si="8"/>
        <v>3.5789438177007804E-2</v>
      </c>
      <c r="J91" s="2">
        <f t="shared" si="9"/>
        <v>0</v>
      </c>
      <c r="K91" s="2">
        <f t="shared" si="10"/>
        <v>0</v>
      </c>
      <c r="L91" s="2">
        <f t="shared" si="11"/>
        <v>0.96421056182299214</v>
      </c>
      <c r="M91" s="2">
        <f t="shared" si="12"/>
        <v>3.6445583095301326E-2</v>
      </c>
      <c r="N91" s="2"/>
      <c r="O91" s="1"/>
    </row>
    <row r="92" spans="1:15" ht="13.9" x14ac:dyDescent="0.4">
      <c r="A92" s="2">
        <v>87</v>
      </c>
      <c r="B92" s="2">
        <v>220.07239999999999</v>
      </c>
      <c r="C92" s="2">
        <v>14.933961</v>
      </c>
      <c r="D92" s="2">
        <v>13.052915</v>
      </c>
      <c r="E92" s="2">
        <v>38.361199999999997</v>
      </c>
      <c r="F92" s="2">
        <v>125.27760000000001</v>
      </c>
      <c r="G92" s="2">
        <v>0</v>
      </c>
      <c r="H92" s="2">
        <f t="shared" si="7"/>
        <v>-2.5232234802576707</v>
      </c>
      <c r="I92" s="2">
        <f t="shared" si="8"/>
        <v>7.4246079467678444E-2</v>
      </c>
      <c r="J92" s="2">
        <f t="shared" si="9"/>
        <v>0</v>
      </c>
      <c r="K92" s="2">
        <f t="shared" si="10"/>
        <v>0</v>
      </c>
      <c r="L92" s="2">
        <f t="shared" si="11"/>
        <v>0.92575392053232153</v>
      </c>
      <c r="M92" s="2">
        <f t="shared" si="12"/>
        <v>7.7146824217829119E-2</v>
      </c>
      <c r="N92" s="2"/>
      <c r="O92" s="1"/>
    </row>
    <row r="95" spans="1:15" ht="13.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5" ht="13.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3.9" x14ac:dyDescent="0.4">
      <c r="A98" s="2"/>
    </row>
    <row r="99" spans="1:10" ht="13.9" x14ac:dyDescent="0.4">
      <c r="A99" s="2"/>
    </row>
    <row r="100" spans="1:10" ht="13.9" x14ac:dyDescent="0.4">
      <c r="A100" s="2"/>
    </row>
    <row r="101" spans="1:10" ht="13.9" x14ac:dyDescent="0.4">
      <c r="A101" s="2"/>
    </row>
    <row r="102" spans="1:10" ht="13.9" x14ac:dyDescent="0.4">
      <c r="A102" s="2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2025-11-24T03:58:45Z</dcterms:modified>
</cp:coreProperties>
</file>