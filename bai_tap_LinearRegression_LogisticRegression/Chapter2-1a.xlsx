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filterPrivacy="1"/>
  <xr:revisionPtr revIDLastSave="0" documentId="13_ncr:1_{E3C2DC6E-F687-41DD-AD0F-83205136F102}" xr6:coauthVersionLast="36" xr6:coauthVersionMax="36" xr10:uidLastSave="{00000000-0000-0000-0000-000000000000}"/>
  <bookViews>
    <workbookView xWindow="0" yWindow="0" windowWidth="23040" windowHeight="8940" xr2:uid="{00000000-000D-0000-FFFF-FFFF00000000}"/>
  </bookViews>
  <sheets>
    <sheet name="temp-sale"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3" i="1" l="1"/>
  <c r="D14" i="1"/>
  <c r="D12" i="1"/>
  <c r="D9" i="1"/>
  <c r="D8" i="1"/>
  <c r="D7" i="1"/>
  <c r="D6" i="1"/>
  <c r="D5" i="1" l="1"/>
  <c r="D4" i="1"/>
  <c r="D3" i="1"/>
</calcChain>
</file>

<file path=xl/sharedStrings.xml><?xml version="1.0" encoding="utf-8"?>
<sst xmlns="http://schemas.openxmlformats.org/spreadsheetml/2006/main" count="11" uniqueCount="11">
  <si>
    <t>Scoring Data</t>
  </si>
  <si>
    <t>Prediction</t>
  </si>
  <si>
    <t>Temperature (F)</t>
  </si>
  <si>
    <t>Ice Cream Sale (dollar in thousand)</t>
  </si>
  <si>
    <t>Sum(X)</t>
  </si>
  <si>
    <t>Sum(Y)</t>
  </si>
  <si>
    <t>Sum(XY)</t>
  </si>
  <si>
    <t>Sum(X^2)</t>
  </si>
  <si>
    <t>n</t>
  </si>
  <si>
    <t>m</t>
  </si>
  <si>
    <t>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</si>
</sst>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1" fillId="0" borderId="0" xfId="0" applyFont="1" applyAlignment="1">
      <alignment horizontal="center"/>
    </xf>
    <xf numFmtId="164" fontId="2"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'temp-sale'!$B$1</c:f>
              <c:strCache>
                <c:ptCount val="1"/>
                <c:pt idx="0">
                  <c:v>Ice Cream Sale (dollar in thousand)</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2"/>
                </a:solidFill>
                <a:prstDash val="solid"/>
              </a:ln>
              <a:effectLst/>
            </c:spPr>
            <c:trendlineType val="linear"/>
            <c:dispRSqr val="0"/>
            <c:dispEq val="0"/>
          </c:trendline>
          <c:xVal>
            <c:numRef>
              <c:f>'temp-sale'!$A$2:$A$9</c:f>
              <c:numCache>
                <c:formatCode>General</c:formatCode>
                <c:ptCount val="8"/>
                <c:pt idx="0">
                  <c:v>91</c:v>
                </c:pt>
                <c:pt idx="1">
                  <c:v>87</c:v>
                </c:pt>
                <c:pt idx="2">
                  <c:v>86</c:v>
                </c:pt>
                <c:pt idx="3">
                  <c:v>88</c:v>
                </c:pt>
                <c:pt idx="4">
                  <c:v>92.8</c:v>
                </c:pt>
                <c:pt idx="5">
                  <c:v>95.2</c:v>
                </c:pt>
                <c:pt idx="6">
                  <c:v>93.3</c:v>
                </c:pt>
                <c:pt idx="7">
                  <c:v>97.7</c:v>
                </c:pt>
              </c:numCache>
            </c:numRef>
          </c:xVal>
          <c:yVal>
            <c:numRef>
              <c:f>'temp-sale'!$B$2:$B$9</c:f>
              <c:numCache>
                <c:formatCode>General</c:formatCode>
                <c:ptCount val="8"/>
                <c:pt idx="0">
                  <c:v>89.8</c:v>
                </c:pt>
                <c:pt idx="1">
                  <c:v>90.2</c:v>
                </c:pt>
                <c:pt idx="2">
                  <c:v>81.099999999999994</c:v>
                </c:pt>
                <c:pt idx="3">
                  <c:v>83</c:v>
                </c:pt>
                <c:pt idx="4">
                  <c:v>90.9</c:v>
                </c:pt>
                <c:pt idx="5">
                  <c:v>119</c:v>
                </c:pt>
                <c:pt idx="6">
                  <c:v>94.9</c:v>
                </c:pt>
                <c:pt idx="7">
                  <c:v>132.4</c:v>
                </c:pt>
              </c:numCache>
            </c:numRef>
          </c:yVal>
          <c:smooth val="0"/>
          <c:extLst>
            <c:ext xmlns:c16="http://schemas.microsoft.com/office/drawing/2014/chart" uri="{C3380CC4-5D6E-409C-BE32-E72D297353CC}">
              <c16:uniqueId val="{00000000-3B2A-4179-BC2A-B3B5FF06980F}"/>
            </c:ext>
          </c:extLst>
        </c:ser>
        <c:dLbls>
          <c:showLegendKey val="0"/>
          <c:showVal val="0"/>
          <c:showCatName val="0"/>
          <c:showSerName val="0"/>
          <c:showPercent val="0"/>
          <c:showBubbleSize val="0"/>
        </c:dLbls>
        <c:axId val="477207952"/>
        <c:axId val="474441152"/>
      </c:scatterChart>
      <c:valAx>
        <c:axId val="4772079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4441152"/>
        <c:crosses val="autoZero"/>
        <c:crossBetween val="midCat"/>
      </c:valAx>
      <c:valAx>
        <c:axId val="47444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207952"/>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0</xdr:colOff>
      <xdr:row>0</xdr:row>
      <xdr:rowOff>0</xdr:rowOff>
    </xdr:from>
    <xdr:to>
      <xdr:col>14</xdr:col>
      <xdr:colOff>47625</xdr:colOff>
      <xdr:row>6</xdr:row>
      <xdr:rowOff>38100</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6029325" y="0"/>
          <a:ext cx="5534025" cy="1238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In a southern</a:t>
          </a:r>
          <a:r>
            <a:rPr lang="en-US" sz="1100" baseline="0"/>
            <a:t> town near a beautiful beach, the manager of a supermarket discovered a relationship between the weekly averaged daily high temperatures and the ice cream sale during summer seasons. He is now using the data he has accumulated to predict the stores ice creamsales.</a:t>
          </a:r>
          <a:endParaRPr lang="en-US" sz="1100"/>
        </a:p>
      </xdr:txBody>
    </xdr:sp>
    <xdr:clientData/>
  </xdr:twoCellAnchor>
  <xdr:twoCellAnchor>
    <xdr:from>
      <xdr:col>5</xdr:col>
      <xdr:colOff>15240</xdr:colOff>
      <xdr:row>6</xdr:row>
      <xdr:rowOff>76200</xdr:rowOff>
    </xdr:from>
    <xdr:to>
      <xdr:col>12</xdr:col>
      <xdr:colOff>320040</xdr:colOff>
      <xdr:row>20</xdr:row>
      <xdr:rowOff>137160</xdr:rowOff>
    </xdr:to>
    <xdr:graphicFrame macro="">
      <xdr:nvGraphicFramePr>
        <xdr:cNvPr id="4" name="Chart 3">
          <a:extLst>
            <a:ext uri="{FF2B5EF4-FFF2-40B4-BE49-F238E27FC236}">
              <a16:creationId xmlns:a16="http://schemas.microsoft.com/office/drawing/2014/main" id="{815B09CE-7716-433E-8E74-1B09DDD566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
  <sheetViews>
    <sheetView tabSelected="1" zoomScale="85" zoomScaleNormal="85" workbookViewId="0">
      <selection activeCell="D12" sqref="D12:D14"/>
    </sheetView>
  </sheetViews>
  <sheetFormatPr defaultRowHeight="14.4" x14ac:dyDescent="0.3"/>
  <cols>
    <col min="1" max="1" width="16.88671875" bestFit="1" customWidth="1"/>
    <col min="2" max="2" width="35.88671875" bestFit="1" customWidth="1"/>
    <col min="3" max="3" width="13.5546875" customWidth="1"/>
    <col min="4" max="4" width="15" customWidth="1"/>
  </cols>
  <sheetData>
    <row r="1" spans="1:4" ht="15.6" x14ac:dyDescent="0.3">
      <c r="A1" s="1" t="s">
        <v>2</v>
      </c>
      <c r="B1" s="1" t="s">
        <v>3</v>
      </c>
      <c r="C1" s="2"/>
      <c r="D1" s="2"/>
    </row>
    <row r="2" spans="1:4" ht="15.6" x14ac:dyDescent="0.3">
      <c r="A2" s="2">
        <v>91</v>
      </c>
      <c r="B2" s="2">
        <v>89.8</v>
      </c>
    </row>
    <row r="3" spans="1:4" ht="15.6" x14ac:dyDescent="0.3">
      <c r="A3" s="2">
        <v>87</v>
      </c>
      <c r="B3" s="2">
        <v>90.2</v>
      </c>
      <c r="C3" s="3" t="s">
        <v>4</v>
      </c>
      <c r="D3" s="2">
        <f>SUM(A:A)</f>
        <v>731</v>
      </c>
    </row>
    <row r="4" spans="1:4" ht="15.6" x14ac:dyDescent="0.3">
      <c r="A4" s="2">
        <v>86</v>
      </c>
      <c r="B4" s="2">
        <v>81.099999999999994</v>
      </c>
      <c r="C4" s="3" t="s">
        <v>5</v>
      </c>
      <c r="D4" s="2">
        <f>SUM(B:B)</f>
        <v>781.3</v>
      </c>
    </row>
    <row r="5" spans="1:4" ht="15.6" x14ac:dyDescent="0.3">
      <c r="A5" s="2">
        <v>88</v>
      </c>
      <c r="B5" s="2">
        <v>83</v>
      </c>
      <c r="C5" s="3" t="s">
        <v>6</v>
      </c>
      <c r="D5" s="2">
        <f>SUMPRODUCT(A:A,B:B)</f>
        <v>71851.77</v>
      </c>
    </row>
    <row r="6" spans="1:4" ht="15.6" x14ac:dyDescent="0.3">
      <c r="A6" s="2">
        <v>92.8</v>
      </c>
      <c r="B6" s="2">
        <v>90.9</v>
      </c>
      <c r="C6" s="3" t="s">
        <v>7</v>
      </c>
      <c r="D6" s="2">
        <f>SUMPRODUCT(A:A,A:A)</f>
        <v>66915.06</v>
      </c>
    </row>
    <row r="7" spans="1:4" ht="15.6" x14ac:dyDescent="0.3">
      <c r="A7" s="2">
        <v>95.2</v>
      </c>
      <c r="B7" s="2">
        <v>119</v>
      </c>
      <c r="C7" s="3" t="s">
        <v>8</v>
      </c>
      <c r="D7" s="2">
        <f>COUNT(A:A)</f>
        <v>8</v>
      </c>
    </row>
    <row r="8" spans="1:4" ht="15.6" x14ac:dyDescent="0.3">
      <c r="A8" s="2">
        <v>93.3</v>
      </c>
      <c r="B8" s="2">
        <v>94.9</v>
      </c>
      <c r="C8" s="3" t="s">
        <v>9</v>
      </c>
      <c r="D8" s="2">
        <f>(D7*D5-D3*D4)/(D7*D6-D3^2)</f>
        <v>3.8394338600076852</v>
      </c>
    </row>
    <row r="9" spans="1:4" ht="15.6" x14ac:dyDescent="0.3">
      <c r="A9" s="2">
        <v>97.7</v>
      </c>
      <c r="B9" s="2">
        <v>132.4</v>
      </c>
      <c r="C9" s="3" t="s">
        <v>10</v>
      </c>
      <c r="D9" s="2">
        <f>(D6*D4-D3*D5)/(D7*D6-D3^2)</f>
        <v>-253.16576895819699</v>
      </c>
    </row>
    <row r="10" spans="1:4" ht="15.6" x14ac:dyDescent="0.3">
      <c r="A10" s="2"/>
      <c r="B10" s="2"/>
      <c r="C10" s="2"/>
      <c r="D10" s="2"/>
    </row>
    <row r="11" spans="1:4" ht="15.6" x14ac:dyDescent="0.3">
      <c r="A11" s="2"/>
      <c r="B11" s="2"/>
      <c r="C11" s="3" t="s">
        <v>0</v>
      </c>
      <c r="D11" s="1" t="s">
        <v>1</v>
      </c>
    </row>
    <row r="12" spans="1:4" ht="15.6" x14ac:dyDescent="0.3">
      <c r="A12" s="2"/>
      <c r="B12" s="2"/>
      <c r="C12" s="2">
        <v>88.8</v>
      </c>
      <c r="D12" s="4">
        <f>D$8*C12 + D$9</f>
        <v>87.775957810485437</v>
      </c>
    </row>
    <row r="13" spans="1:4" ht="15.6" x14ac:dyDescent="0.3">
      <c r="A13" s="2"/>
      <c r="B13" s="2"/>
      <c r="C13" s="2">
        <v>96.9</v>
      </c>
      <c r="D13" s="4">
        <f t="shared" ref="D13:D14" si="0">D$8*C13 + D$9</f>
        <v>118.87537207654773</v>
      </c>
    </row>
    <row r="14" spans="1:4" ht="15.6" x14ac:dyDescent="0.3">
      <c r="A14" s="2"/>
      <c r="B14" s="2"/>
      <c r="C14" s="2">
        <v>94.7</v>
      </c>
      <c r="D14" s="4">
        <f t="shared" si="0"/>
        <v>110.42861758453083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temp-sale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2025-11-24T15:21:12Z</dcterms:modified>
</cp:coreProperties>
</file>